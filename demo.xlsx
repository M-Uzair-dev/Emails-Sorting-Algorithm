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oman\Desktop\"/>
    </mc:Choice>
  </mc:AlternateContent>
  <bookViews>
    <workbookView xWindow="0" yWindow="0" windowWidth="19200" windowHeight="7050" firstSheet="1" activeTab="1"/>
  </bookViews>
  <sheets>
    <sheet name="AR Analysis - 2-21-2025" sheetId="44" state="hidden" r:id="rId1"/>
    <sheet name="Collection Notes" sheetId="2" r:id="rId2"/>
    <sheet name="No Contact Customers" sheetId="16" r:id="rId3"/>
    <sheet name="A R Aging Detail" sheetId="1" r:id="rId4"/>
    <sheet name="Customer Information" sheetId="45" r:id="rId5"/>
  </sheets>
  <definedNames>
    <definedName name="_xlnm._FilterDatabase" localSheetId="3" hidden="1">'A R Aging Detail'!$A$1:$H$32</definedName>
  </definedNames>
  <calcPr calcId="162913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44" l="1"/>
  <c r="D18" i="44"/>
  <c r="D19" i="44"/>
  <c r="D20" i="44"/>
  <c r="D21" i="44"/>
  <c r="D22" i="44"/>
  <c r="D23" i="44"/>
  <c r="D24" i="44"/>
  <c r="D25" i="44"/>
  <c r="D16" i="44"/>
  <c r="C13" i="44"/>
  <c r="C12" i="44"/>
  <c r="C11" i="44"/>
  <c r="C10" i="44"/>
</calcChain>
</file>

<file path=xl/sharedStrings.xml><?xml version="1.0" encoding="utf-8"?>
<sst xmlns="http://schemas.openxmlformats.org/spreadsheetml/2006/main" count="2644" uniqueCount="1039">
  <si>
    <t>Date</t>
  </si>
  <si>
    <t>Transaction Type</t>
  </si>
  <si>
    <t>Num</t>
  </si>
  <si>
    <t>Customer</t>
  </si>
  <si>
    <t>Due Date</t>
  </si>
  <si>
    <t>Amount</t>
  </si>
  <si>
    <t>Open Balance</t>
  </si>
  <si>
    <t>Invoice</t>
  </si>
  <si>
    <t>Venous Techs</t>
  </si>
  <si>
    <t>Associates in Vascular Care New Jersey</t>
  </si>
  <si>
    <t>Premier Cardiovascular Consultants PC</t>
  </si>
  <si>
    <t>Advanced Vein and Vascular</t>
  </si>
  <si>
    <t>Integrative Health of New York</t>
  </si>
  <si>
    <t>Apex Cardiology</t>
  </si>
  <si>
    <t>Fox Vein Care</t>
  </si>
  <si>
    <t>Aging</t>
  </si>
  <si>
    <t>Row Labels</t>
  </si>
  <si>
    <t>Grand Total</t>
  </si>
  <si>
    <t>91 + Days</t>
  </si>
  <si>
    <t>1 - 30 Days</t>
  </si>
  <si>
    <t>Sum of Open Balance</t>
  </si>
  <si>
    <t>31-60 Days</t>
  </si>
  <si>
    <t>61-90 Days</t>
  </si>
  <si>
    <t>Minimally Invasive Surgical Solutions Medical</t>
  </si>
  <si>
    <t>Skylands Vascular Specialists</t>
  </si>
  <si>
    <t>Innovative Vein Therapies</t>
  </si>
  <si>
    <t>Vascular Specialists</t>
  </si>
  <si>
    <t>The Vein Center at Eden Hill</t>
  </si>
  <si>
    <t>Advanced Cardiology of S. Jersey</t>
  </si>
  <si>
    <t>Amarillo Laser &amp; Vein Clinic</t>
  </si>
  <si>
    <t>Center for Varicose Veins</t>
  </si>
  <si>
    <t>Center for Interventional Med dba Vida Vascular</t>
  </si>
  <si>
    <t>Desert West Surgery</t>
  </si>
  <si>
    <t>Dr. Ian Goldbaum</t>
  </si>
  <si>
    <t>Elite Vein Clinic</t>
  </si>
  <si>
    <t>Fort Worth Vein Center</t>
  </si>
  <si>
    <t>FVCS-Ft. Myers</t>
  </si>
  <si>
    <t>Harish Yalamanchili, MD</t>
  </si>
  <si>
    <t>Heart, Artery, &amp; Vein Center of Fresno, CA</t>
  </si>
  <si>
    <t>iThrive Veins</t>
  </si>
  <si>
    <t>Lone Star Vein and Vascular</t>
  </si>
  <si>
    <t>Medical Assoc. of NE Louisiana</t>
  </si>
  <si>
    <t>Mother Lode Vein Institute</t>
  </si>
  <si>
    <t>Reno Vein Clinic</t>
  </si>
  <si>
    <t>Restore Wellness Center</t>
  </si>
  <si>
    <t>Sequoia Vein and Wound</t>
  </si>
  <si>
    <t>The Vein Center of Cincinnati</t>
  </si>
  <si>
    <t>The Vein Place</t>
  </si>
  <si>
    <t>Vein Specialists of the Carolinas</t>
  </si>
  <si>
    <t>Heart and Vascular Consultants</t>
  </si>
  <si>
    <t>Valley Surgical, Aesthetics &amp; Vein Care</t>
  </si>
  <si>
    <t>Lake Cardiovascular Diagnostic Center.</t>
  </si>
  <si>
    <t>91 + Days Total</t>
  </si>
  <si>
    <t>61-90 Days Total</t>
  </si>
  <si>
    <t>1 - 30 Days Total</t>
  </si>
  <si>
    <t>31-60 Days Total</t>
  </si>
  <si>
    <t>Utah Musculoskeletal Specialists</t>
  </si>
  <si>
    <t>North Texas Vein and Vascular1085</t>
  </si>
  <si>
    <t>Heart Vascular and Leg Center Bakersfield</t>
  </si>
  <si>
    <t>Medline</t>
  </si>
  <si>
    <t>1-30 Days</t>
  </si>
  <si>
    <t>Cardiovascular Specialist Ohio</t>
  </si>
  <si>
    <t>Bergen Surgical Specialists</t>
  </si>
  <si>
    <t>Synergy Supply Solutions</t>
  </si>
  <si>
    <t>Vein Envy</t>
  </si>
  <si>
    <t>Dayton Outpatient Center</t>
  </si>
  <si>
    <t>Illinois Surgical Specialist</t>
  </si>
  <si>
    <t>Aiyan Diabetes Center</t>
  </si>
  <si>
    <t>Current</t>
  </si>
  <si>
    <t>Do Not Contact</t>
  </si>
  <si>
    <t>Not Due</t>
  </si>
  <si>
    <t>Open Payments</t>
  </si>
  <si>
    <t>Qualified AR for Collection</t>
  </si>
  <si>
    <t>Column Labels</t>
  </si>
  <si>
    <t>% DO NOT CONTACT/TOTAL AR</t>
  </si>
  <si>
    <t>% Not Due/Total AR</t>
  </si>
  <si>
    <t>% Qualified AR for Collection</t>
  </si>
  <si>
    <t>% Top Ten Holding Total AR</t>
  </si>
  <si>
    <t>%ages</t>
  </si>
  <si>
    <t>Current Total</t>
  </si>
  <si>
    <t>Vein &amp; Wound Experts</t>
  </si>
  <si>
    <t xml:space="preserve">AR Report as at 02-21-2025 </t>
  </si>
  <si>
    <t>Bellamah Vein Center</t>
  </si>
  <si>
    <t>Vanishing Veins &amp; Vivesse Med Spa</t>
  </si>
  <si>
    <t>Sinai Diagnostics</t>
  </si>
  <si>
    <t>Graham Health System</t>
  </si>
  <si>
    <t>Elite Veins NY</t>
  </si>
  <si>
    <t>Davis Vein &amp; Vascular Center</t>
  </si>
  <si>
    <t>Pulse Healthcare</t>
  </si>
  <si>
    <t>Central PA Physicians Group</t>
  </si>
  <si>
    <t>Cholankeril Medical Associates</t>
  </si>
  <si>
    <t>Vascular, Heart &amp; Lung Associates</t>
  </si>
  <si>
    <t>Oxford Surgery Center</t>
  </si>
  <si>
    <t>Center for Advance Vein Care</t>
  </si>
  <si>
    <t>West Coast Medicine &amp; Cardiology</t>
  </si>
  <si>
    <t>Dakota Vascular</t>
  </si>
  <si>
    <t>Florida Vein Care Specialists</t>
  </si>
  <si>
    <t>New York Vascular Medicine PLLC</t>
  </si>
  <si>
    <t>Vein Disease Care of El Paso</t>
  </si>
  <si>
    <t>Village Practice Management Company</t>
  </si>
  <si>
    <t>Surgical Associates of Western Colorado</t>
  </si>
  <si>
    <t>Vancouver Vein &amp; Surgical Center</t>
  </si>
  <si>
    <t>Colorado Skin &amp; Vein</t>
  </si>
  <si>
    <t>FVCS Ft. Myers</t>
  </si>
  <si>
    <t>Shannon Medical Center</t>
  </si>
  <si>
    <t>Newport Vascular</t>
  </si>
  <si>
    <t>Central Coast Vascular/Pacific Cardiovascular/West Coast Surgical Center</t>
  </si>
  <si>
    <t>Advanced Cardiology of South Jersey</t>
  </si>
  <si>
    <t>La Jolla Vein Care</t>
  </si>
  <si>
    <t>Vein Center of Oradell</t>
  </si>
  <si>
    <t>Radiology Imaging Associates</t>
  </si>
  <si>
    <t>Evolves Vascular Lab</t>
  </si>
  <si>
    <t>Interventional Cardiology &amp; Vascular Consultants</t>
  </si>
  <si>
    <t>TLC Vascular</t>
  </si>
  <si>
    <t>Vascular &amp; Thoracic Associates of Los Angeles</t>
  </si>
  <si>
    <t>Palomar Health FKA-San Diego Vascular</t>
  </si>
  <si>
    <t>TLC Medical Group</t>
  </si>
  <si>
    <t>Jersey Shore Surgery and Vein Center, LLC</t>
  </si>
  <si>
    <t>Cardio Metabolic Institute</t>
  </si>
  <si>
    <t>Dr. Janet H Lee, DO</t>
  </si>
  <si>
    <t>Cardiothoracic Vascular Surgical Associates</t>
  </si>
  <si>
    <t>10723</t>
  </si>
  <si>
    <t>10903</t>
  </si>
  <si>
    <t>11006</t>
  </si>
  <si>
    <t>11226</t>
  </si>
  <si>
    <t>13019</t>
  </si>
  <si>
    <t>13520</t>
  </si>
  <si>
    <t>Lone Star Vein and Vascular Specialists</t>
  </si>
  <si>
    <t>The Woodlands Heart and Vascular Center</t>
  </si>
  <si>
    <t>Fayette Surgical Associates Vascular Center</t>
  </si>
  <si>
    <t>Long Life Cardiology</t>
  </si>
  <si>
    <t>Skylands Surgery Center</t>
  </si>
  <si>
    <t>Vascular Specialists of Delaware, PA</t>
  </si>
  <si>
    <t>Pulse Urgent Care and Vascular Center</t>
  </si>
  <si>
    <t>Valley Vein &amp; Vascular</t>
  </si>
  <si>
    <t>Southern Vascular Specialists</t>
  </si>
  <si>
    <t>NG Vascular &amp; Vein Center</t>
  </si>
  <si>
    <t>Pro Vascular MD</t>
  </si>
  <si>
    <t>Vein360</t>
  </si>
  <si>
    <t>Customer full name</t>
  </si>
  <si>
    <t>Phone numbers</t>
  </si>
  <si>
    <t>Email</t>
  </si>
  <si>
    <t>Full name</t>
  </si>
  <si>
    <t xml:space="preserve">Phone:(856) 241-3838 </t>
  </si>
  <si>
    <t>acsj@comcast.net</t>
  </si>
  <si>
    <t/>
  </si>
  <si>
    <t>Advanced Surgical Care Reno</t>
  </si>
  <si>
    <t xml:space="preserve">Phone:(775) 870-1082 </t>
  </si>
  <si>
    <t>e.bachelor@advancedsurgicalcarereno.com</t>
  </si>
  <si>
    <t>Advanced Vascular Centers</t>
  </si>
  <si>
    <t xml:space="preserve">Phone:(503) 683-7730 </t>
  </si>
  <si>
    <t>accounting@advasc.com</t>
  </si>
  <si>
    <t xml:space="preserve">Phone:(385) 388-8003 </t>
  </si>
  <si>
    <t>Advanced Vein Care (Dr. Moore)</t>
  </si>
  <si>
    <t>mooregensurgery@gmail.com</t>
  </si>
  <si>
    <t>Adventist Health System West</t>
  </si>
  <si>
    <t xml:space="preserve">Phone:(844) 383-5680 </t>
  </si>
  <si>
    <t>adventist@invoicedeliveryservices.com</t>
  </si>
  <si>
    <t>Advocare Garden State Cardiology</t>
  </si>
  <si>
    <t xml:space="preserve">Phone:(856) 335-4118 </t>
  </si>
  <si>
    <t>jhyde@advocaredoctors.com</t>
  </si>
  <si>
    <t xml:space="preserve">Phone:(706) 868-0319 </t>
  </si>
  <si>
    <t>janakinadarajah@gmail.com</t>
  </si>
  <si>
    <t>Alliance Intervention</t>
  </si>
  <si>
    <t xml:space="preserve">Phone:(661) 488-8022 </t>
  </si>
  <si>
    <t>alliance.janiceangeles@gmail.com</t>
  </si>
  <si>
    <t>Altoona Vein Care</t>
  </si>
  <si>
    <t xml:space="preserve">Phone:(814) 515-9919 </t>
  </si>
  <si>
    <t>katie@altoonavein.com, dcfaber@altoonavein.com</t>
  </si>
  <si>
    <t>Al-Zoubaidi Vein &amp; Vascular Center of Southern Illinois</t>
  </si>
  <si>
    <t xml:space="preserve">Phone:(618) 816-6006 </t>
  </si>
  <si>
    <t>deaston@vvcsi.com, ebeever@vvcsi.com</t>
  </si>
  <si>
    <t xml:space="preserve">Phone:(806) 355-3022 </t>
  </si>
  <si>
    <t>ajarrous67@gmail.com</t>
  </si>
  <si>
    <t>Amavita Heart &amp; Vascular</t>
  </si>
  <si>
    <t xml:space="preserve">Phone:(305) 316-8743 </t>
  </si>
  <si>
    <t>pperez@amavita.health</t>
  </si>
  <si>
    <t xml:space="preserve">Phone:(731) 423-8200 </t>
  </si>
  <si>
    <t>lgibbons@apexcardio.com</t>
  </si>
  <si>
    <t>Apex Management Service Organization LLC</t>
  </si>
  <si>
    <t>Mobile:(860) 869-2722</t>
  </si>
  <si>
    <t>ea@apexheartandvascular.com, admin@apexheartandvascular.com</t>
  </si>
  <si>
    <t>Apex Vein &amp; Vascular Institute</t>
  </si>
  <si>
    <t>apexvein@gmail.com</t>
  </si>
  <si>
    <t xml:space="preserve">Phone:(732) 784-6550 </t>
  </si>
  <si>
    <t>lcaplan@njvlc.com</t>
  </si>
  <si>
    <t>Astra Vascular</t>
  </si>
  <si>
    <t xml:space="preserve">Phone:(347) 934-9068 </t>
  </si>
  <si>
    <t>giofactor@gmail.com</t>
  </si>
  <si>
    <t>Azura Medical Spa</t>
  </si>
  <si>
    <t>hford@azuramedicalspa.com</t>
  </si>
  <si>
    <t>Bar Code Sinc</t>
  </si>
  <si>
    <t>Beach Cities Vein &amp; Laser Center</t>
  </si>
  <si>
    <t>didirayman@beachveins.com</t>
  </si>
  <si>
    <t xml:space="preserve">Phone:(406) 541-3200 </t>
  </si>
  <si>
    <t>adaniel@bvsmontana.com</t>
  </si>
  <si>
    <t>gsimonian@aol.com</t>
  </si>
  <si>
    <t>Bob Evans</t>
  </si>
  <si>
    <t>Borowicz Vascular</t>
  </si>
  <si>
    <t xml:space="preserve">Phone:(843) 449-9621 </t>
  </si>
  <si>
    <t>samb.vascularlab@gmail.com</t>
  </si>
  <si>
    <t>Brookstone Surgical Center</t>
  </si>
  <si>
    <t xml:space="preserve">Phone:(706) 507-7049 </t>
  </si>
  <si>
    <t>nspellers@rrbsurgicalcenter.com</t>
  </si>
  <si>
    <t>Buffalo Vascular Care</t>
  </si>
  <si>
    <t>kconverse@buffalovascularcare.com</t>
  </si>
  <si>
    <t>California Vein &amp; Wound Center</t>
  </si>
  <si>
    <t xml:space="preserve">Phone:(707) 476-1920 </t>
  </si>
  <si>
    <t>geolom81@gmail.com</t>
  </si>
  <si>
    <t>Cardiac and Vascular Consultants FL</t>
  </si>
  <si>
    <t xml:space="preserve">Phone:(352) 633-7502 </t>
  </si>
  <si>
    <t>accounting@cvcfl.com</t>
  </si>
  <si>
    <t>Cardiology of San Antonio</t>
  </si>
  <si>
    <t>guillermoreyesmd@yahoo.com</t>
  </si>
  <si>
    <t xml:space="preserve">Phone:(732) 846-7000 </t>
  </si>
  <si>
    <t>singal@cminj.com, accounting@cminj.com</t>
  </si>
  <si>
    <t>Cardiothoracic Surgical Specialists of Cherry Hill</t>
  </si>
  <si>
    <t>anayar1111@gmail.com</t>
  </si>
  <si>
    <t xml:space="preserve">Phone:(352) 237-1212 </t>
  </si>
  <si>
    <t>kc@surgicalspecialistsocala.com</t>
  </si>
  <si>
    <t>Cardiovascular Clinic of West Tennessee</t>
  </si>
  <si>
    <t xml:space="preserve">Phone:(731) 256-1819 </t>
  </si>
  <si>
    <t>mdcvc01@gmail.com, avdyola@hotmail.com</t>
  </si>
  <si>
    <t>Cardiovascular Experts</t>
  </si>
  <si>
    <t xml:space="preserve">Phone:(717) 727-0480 </t>
  </si>
  <si>
    <t>accounting@cardiovascularexperts.com</t>
  </si>
  <si>
    <t>Cardiovascular Institute of Michigan P.C.</t>
  </si>
  <si>
    <t xml:space="preserve">Phone:(586) 776-8877 </t>
  </si>
  <si>
    <t>Cvim.mi2@gmail.com, Cvim.mi1@gmail.com</t>
  </si>
  <si>
    <t xml:space="preserve">Phone:(740) 653-7511 </t>
  </si>
  <si>
    <t>Mmuetzel@cvsheartdocs.com</t>
  </si>
  <si>
    <t xml:space="preserve">Phone:(828) 322-8485 </t>
  </si>
  <si>
    <t>theopdoc@gmail.com</t>
  </si>
  <si>
    <t>Center for Interventional Medicine LLC</t>
  </si>
  <si>
    <t>Phone:240 Mobile:412-0053</t>
  </si>
  <si>
    <t>contact@cfim.biz</t>
  </si>
  <si>
    <t xml:space="preserve">Phone:(860) 997-7498 </t>
  </si>
  <si>
    <t>drvmadan@gmail.com</t>
  </si>
  <si>
    <t>Central Arkansas Vein Clinic</t>
  </si>
  <si>
    <t>invoices@cavc.net</t>
  </si>
  <si>
    <t>Central California Cardiovascular</t>
  </si>
  <si>
    <t xml:space="preserve">Phone:(559) 896-0400 </t>
  </si>
  <si>
    <t>sxshetty@gmail.com</t>
  </si>
  <si>
    <t>admin@westcoastvascular.com</t>
  </si>
  <si>
    <t xml:space="preserve">Phone:(814) 201-2309 </t>
  </si>
  <si>
    <t>mark.khoury@centralpapg.com</t>
  </si>
  <si>
    <t>Central Valley Vein and Wound Centers</t>
  </si>
  <si>
    <t>zach@medscalemanagement.com</t>
  </si>
  <si>
    <t>Champion Heart and Vascular</t>
  </si>
  <si>
    <t xml:space="preserve">Phone:(252) 572-4223 </t>
  </si>
  <si>
    <t>ultrasound@championheartandvascular.com</t>
  </si>
  <si>
    <t>Chesapeake Vein Center</t>
  </si>
  <si>
    <t xml:space="preserve">Phone:(757) 819-7633 </t>
  </si>
  <si>
    <t>Office.manager@chesapeakeveincenter.com</t>
  </si>
  <si>
    <t>Chicago Vein Institute</t>
  </si>
  <si>
    <t>nermina@chicagoveininstitute.com</t>
  </si>
  <si>
    <t xml:space="preserve">Phone:(732) 382-2177 </t>
  </si>
  <si>
    <t>matthew.cholankeril@gmail.com</t>
  </si>
  <si>
    <t>Chris Meyer</t>
  </si>
  <si>
    <t>chrismeyer45@gmail.com</t>
  </si>
  <si>
    <t>Coastal Vascular Center</t>
  </si>
  <si>
    <t xml:space="preserve">Phone:(805) 983-9233 </t>
  </si>
  <si>
    <t>betty@coastalvascularcenter.com</t>
  </si>
  <si>
    <t>Coates Vein Clinic</t>
  </si>
  <si>
    <t>coatesvein@gmail.com</t>
  </si>
  <si>
    <t xml:space="preserve">Phone:(303) 683-3235 </t>
  </si>
  <si>
    <t>md@coloradoskincare.com</t>
  </si>
  <si>
    <t>Complete Cardiology Care</t>
  </si>
  <si>
    <t>dorvs.acts.evolves.llc@gmail.com</t>
  </si>
  <si>
    <t>Complete Heart Care</t>
  </si>
  <si>
    <t xml:space="preserve">Phone:(214) 544-3355 </t>
  </si>
  <si>
    <t>faizan5908@msn.com</t>
  </si>
  <si>
    <t>Creosalus Inc.</t>
  </si>
  <si>
    <t>mwilson@occamdesign.com</t>
  </si>
  <si>
    <t>Cut and Tie Solutions</t>
  </si>
  <si>
    <t xml:space="preserve">Phone:(760) 739-7666 </t>
  </si>
  <si>
    <t>ajbulkin@yahoo.com</t>
  </si>
  <si>
    <t>Mobile:(605) 306-6100</t>
  </si>
  <si>
    <t>asaeger@dakotavascular.com</t>
  </si>
  <si>
    <t>brian.c@davisvein.com, kristi.d@davisvein.com</t>
  </si>
  <si>
    <t>bjackson@daytondoc.com</t>
  </si>
  <si>
    <t>Dayton Springfield Heart and Vascular</t>
  </si>
  <si>
    <t>vpapaioannou@dsheartvm.com</t>
  </si>
  <si>
    <t xml:space="preserve">Phone:(915) 260-4598 </t>
  </si>
  <si>
    <t>aturkasha@gmail.com</t>
  </si>
  <si>
    <t>Douglas Vascular Center, LLC</t>
  </si>
  <si>
    <t xml:space="preserve">Phone:(912) 384-0322 </t>
  </si>
  <si>
    <t>lkaiser@douglasvascular.com</t>
  </si>
  <si>
    <t>Dr. Choudhury M Hasan</t>
  </si>
  <si>
    <t xml:space="preserve">Phone:(718) 657-8001 </t>
  </si>
  <si>
    <t>cmmhasan8405@gmail.com</t>
  </si>
  <si>
    <t>Dr. Furqan Tejani</t>
  </si>
  <si>
    <t xml:space="preserve">Phone:(914) 217-8679 </t>
  </si>
  <si>
    <t>furqantejanimd@gmail.com</t>
  </si>
  <si>
    <t>Dr. George Constantinopoulos</t>
  </si>
  <si>
    <t xml:space="preserve">Phone:(732) 229-8486 </t>
  </si>
  <si>
    <t>drconstantinopoulos@gmail.com,gkami7@yahoo.com</t>
  </si>
  <si>
    <t>Dr. Glenn Kline</t>
  </si>
  <si>
    <t>glennksurg@aol.com</t>
  </si>
  <si>
    <t>Dr. Homayoun Sharim</t>
  </si>
  <si>
    <t>drhosharim@gmail.com</t>
  </si>
  <si>
    <t>Podfather5@aol.com</t>
  </si>
  <si>
    <t>krisatdrlee@gmail.com</t>
  </si>
  <si>
    <t>Dr. Merab Boter</t>
  </si>
  <si>
    <t>doctorboter@msn.com</t>
  </si>
  <si>
    <t>Dr. Milton Beato</t>
  </si>
  <si>
    <t>miltonbeatob@netscape.net</t>
  </si>
  <si>
    <t>Dr. Nabil Abudayeh</t>
  </si>
  <si>
    <t xml:space="preserve">Phone:(510) 866-6878 </t>
  </si>
  <si>
    <t>drnka@aol.com</t>
  </si>
  <si>
    <t>Dr. Nazimi A. Elrabie</t>
  </si>
  <si>
    <t>elrabiemd@gmail.com, nelrabie@gmail.com</t>
  </si>
  <si>
    <t>Duval Vascular Center</t>
  </si>
  <si>
    <t xml:space="preserve">Phone:(904) 501-1398 </t>
  </si>
  <si>
    <t>asteelman@duvalvascular.com</t>
  </si>
  <si>
    <t>EKMS, LLC</t>
  </si>
  <si>
    <t>asadjadoon@gmail.com</t>
  </si>
  <si>
    <t>abigail@eliteveinclinic.com</t>
  </si>
  <si>
    <t>thenyheartcenter@gmail.com</t>
  </si>
  <si>
    <t>EP Sustain</t>
  </si>
  <si>
    <t xml:space="preserve">Phone:(615) 306-2090 </t>
  </si>
  <si>
    <t>kurt@epsustain.com, support@epsustain.com</t>
  </si>
  <si>
    <t>Evansville Regional Vein Center</t>
  </si>
  <si>
    <t>Mobile:(812) 471-8195</t>
  </si>
  <si>
    <t>swright@drmanley.com, jsummers@drmanley.com</t>
  </si>
  <si>
    <t>denise@evolvesvascular.com</t>
  </si>
  <si>
    <t>ablackford@faysurglex.com, eott@faysurglex.com</t>
  </si>
  <si>
    <t>Felice L. Bruno</t>
  </si>
  <si>
    <t>Valdez.santiana@sbcglobal.net</t>
  </si>
  <si>
    <t>Florida Foot and Ankle</t>
  </si>
  <si>
    <t>ffadocmatey@gmail.com</t>
  </si>
  <si>
    <t>Florida Vein Center - Bradenton</t>
  </si>
  <si>
    <t>Info@floridaveincenter.com</t>
  </si>
  <si>
    <t>Foot Ankle &amp; Leg Vein Center</t>
  </si>
  <si>
    <t>heatherfootcare5@gmail.com</t>
  </si>
  <si>
    <t>Fort Worth Vein Center -</t>
  </si>
  <si>
    <t>barry.oswalt@ftworthveins.com</t>
  </si>
  <si>
    <t xml:space="preserve">Phone:(212) 362-3470 </t>
  </si>
  <si>
    <t>janetc@foxvein.com</t>
  </si>
  <si>
    <t>fvcs</t>
  </si>
  <si>
    <t>jreisspac38@gmail.com</t>
  </si>
  <si>
    <t>Gaurang Pandya</t>
  </si>
  <si>
    <t>gpandyamd@gmail.com</t>
  </si>
  <si>
    <t>Ghalili Vein and Vascular Institute</t>
  </si>
  <si>
    <t>Mobile:(215) 447-8612</t>
  </si>
  <si>
    <t>kouroshghalili@gmail.com</t>
  </si>
  <si>
    <t>Graff Foot, Ankle, Wound Care</t>
  </si>
  <si>
    <t>hope@texasfootsurgery.com</t>
  </si>
  <si>
    <t>GrahamHealthSystem@Invoices.corcentric.com</t>
  </si>
  <si>
    <t>Grand Strand Surgical</t>
  </si>
  <si>
    <t xml:space="preserve">Phone:(615) 372-8753 </t>
  </si>
  <si>
    <t>shirley.smothers@hcahealthcare.com</t>
  </si>
  <si>
    <t>Greg A. Spitz, MD</t>
  </si>
  <si>
    <t>amerivein@gmail.com</t>
  </si>
  <si>
    <t>Hao D Bui MD INC</t>
  </si>
  <si>
    <t>thuynguyen@kernvascularcenter.com</t>
  </si>
  <si>
    <t>info@savein.com</t>
  </si>
  <si>
    <t>lidiatolcer@sbcglobal.net</t>
  </si>
  <si>
    <t>Heart, Artery &amp; Vein Center of Fresno, CA</t>
  </si>
  <si>
    <t>jess.havfresno@gmail.com</t>
  </si>
  <si>
    <t>Heart Clinic of Dallas</t>
  </si>
  <si>
    <t>as@heartclinicdallas.com</t>
  </si>
  <si>
    <t>Heart Matters</t>
  </si>
  <si>
    <t xml:space="preserve">Phone:(661) 324-4100 </t>
  </si>
  <si>
    <t>vk@vippllc.com</t>
  </si>
  <si>
    <t>Hoang M. Nguyen, DO</t>
  </si>
  <si>
    <t>hmnguyendo@gmail.com</t>
  </si>
  <si>
    <t>Hoenig Vein and Vascular</t>
  </si>
  <si>
    <t>mangroveap@bill.com</t>
  </si>
  <si>
    <t>Horizon Surgical Specialists</t>
  </si>
  <si>
    <t>penny.woods@azuracare.com</t>
  </si>
  <si>
    <t>Houston Vein &amp; Vascular</t>
  </si>
  <si>
    <t>drzarghouni@houvascular.com</t>
  </si>
  <si>
    <t>Huy Nguyen, MD</t>
  </si>
  <si>
    <t>cllhuy15032@yahoo.com</t>
  </si>
  <si>
    <t>jstufflebeam@illinoissurgery.com, kwendling@illinoissurgery.com, kwendling@illinoissurgery.com</t>
  </si>
  <si>
    <t>Inland Medical Group</t>
  </si>
  <si>
    <t>vg9901@gmail.com</t>
  </si>
  <si>
    <t>Innovative Minimally Invasive Imaging and Therapeutics-</t>
  </si>
  <si>
    <t xml:space="preserve">Phone:(626) 664-5377 </t>
  </si>
  <si>
    <t>kramboyong@imiit.org</t>
  </si>
  <si>
    <t>Innovative Minimally Invasive Imaging &amp; Therapeutics, Inc.</t>
  </si>
  <si>
    <t xml:space="preserve">Phone:+14015750308 </t>
  </si>
  <si>
    <t>nectarsin@mac.com</t>
  </si>
  <si>
    <t>lpretlow@veininnovations.com</t>
  </si>
  <si>
    <t>Institute of Internal Medicine</t>
  </si>
  <si>
    <t>drpanchal1@hotmail.com</t>
  </si>
  <si>
    <t xml:space="preserve">Phone:9176007566 </t>
  </si>
  <si>
    <t>blanca@integrativehealthofny.com</t>
  </si>
  <si>
    <t>Intermed Vein Clinic</t>
  </si>
  <si>
    <t>george@intermedveinclinic.com</t>
  </si>
  <si>
    <t>palashish2000@yahoo.com</t>
  </si>
  <si>
    <t xml:space="preserve">Phone:(858) 245-6775 </t>
  </si>
  <si>
    <t>sdamani@ithriveveins.com, accounting@ithriveveins.com</t>
  </si>
  <si>
    <t>Samir  Damani</t>
  </si>
  <si>
    <t>Ivy Cardiovascular and Vein Center</t>
  </si>
  <si>
    <t>jjoseph@ivycardiovascular.com, ahowell@ivycardiovascular.com</t>
  </si>
  <si>
    <t>er</t>
  </si>
  <si>
    <t>Jena Medical Group</t>
  </si>
  <si>
    <t>abe.healthusa@gmail.com</t>
  </si>
  <si>
    <t>info@shoreveinspecialists.com</t>
  </si>
  <si>
    <t>John Yuan</t>
  </si>
  <si>
    <t>adv.vascular@hotmail.com</t>
  </si>
  <si>
    <t>Kansas Surgical Arts</t>
  </si>
  <si>
    <t>invoice@ksaemail.com</t>
  </si>
  <si>
    <t>stephanie@ljvascular.com</t>
  </si>
  <si>
    <t>Laredo Interventional Clinic PLLC</t>
  </si>
  <si>
    <t>Laser Spine Center of Chicago</t>
  </si>
  <si>
    <t xml:space="preserve">Phone:(708) 966-8000 </t>
  </si>
  <si>
    <t>laserspinechicago@gmail.com</t>
  </si>
  <si>
    <t>LA Vascular and Endovascular Surgery</t>
  </si>
  <si>
    <t xml:space="preserve">Phone:(818) 558-7700 </t>
  </si>
  <si>
    <t>lavendosurgery@gmail.com</t>
  </si>
  <si>
    <t>Alexis  Rosson</t>
  </si>
  <si>
    <t>Litchfield County Vein Center</t>
  </si>
  <si>
    <t>chrism@litchfieldcountyveincenter.net</t>
  </si>
  <si>
    <t>Living Water Vein Institute</t>
  </si>
  <si>
    <t xml:space="preserve">Phone:(423) 631-0101 </t>
  </si>
  <si>
    <t>tberry@livingwatervein.com, jberry@livingwatervein.com</t>
  </si>
  <si>
    <t>Lone Star Heart and Vascular Center</t>
  </si>
  <si>
    <t>kfields.lonestarcardiology@gmail.com</t>
  </si>
  <si>
    <t>lvijil@lsvvs.com</t>
  </si>
  <si>
    <t xml:space="preserve">Phone:(626) 458-8818 </t>
  </si>
  <si>
    <t>henrycyee@gmail.com</t>
  </si>
  <si>
    <t>Low Country Vein Specialists</t>
  </si>
  <si>
    <t>ckiddivs@gmail.com</t>
  </si>
  <si>
    <t>Mcmaster Carr</t>
  </si>
  <si>
    <t>Mecklenburg Heart Specialists PA</t>
  </si>
  <si>
    <t xml:space="preserve">Phone:(704) 334-0600 </t>
  </si>
  <si>
    <t>aaq@mhvi.email</t>
  </si>
  <si>
    <t>Medical Association of Northeast LA1058</t>
  </si>
  <si>
    <t xml:space="preserve">Phone:(318) 387-4102 </t>
  </si>
  <si>
    <t>j_jenkins9@yahoo.com</t>
  </si>
  <si>
    <t>Medilaser</t>
  </si>
  <si>
    <t>info@medilasersurgery.com</t>
  </si>
  <si>
    <t xml:space="preserve">Phone:(866) 866-7477 </t>
  </si>
  <si>
    <t>vendorinvoices@medline.com</t>
  </si>
  <si>
    <t>Messner Vascular Institute</t>
  </si>
  <si>
    <t>lmessner@messnervascular.com</t>
  </si>
  <si>
    <t>Mobile:(408) 918-0405</t>
  </si>
  <si>
    <t>ap@evsurgery.com</t>
  </si>
  <si>
    <t xml:space="preserve">Phone:(209) 768-5541 </t>
  </si>
  <si>
    <t>skyaccounts@skylandshealth.com</t>
  </si>
  <si>
    <t>MTVIR</t>
  </si>
  <si>
    <t>eloy@mtvir.com</t>
  </si>
  <si>
    <t>nabimd@gmail.com, wpegan@vasculardocs.com</t>
  </si>
  <si>
    <t>newyorkvascular@gmail.com</t>
  </si>
  <si>
    <t>Mobile:(219) 208-6218</t>
  </si>
  <si>
    <t>firdous@ngvascular.com</t>
  </si>
  <si>
    <t>Nikki Riegler</t>
  </si>
  <si>
    <t>Nikki  Riegler</t>
  </si>
  <si>
    <t>Nisha Bunke MD</t>
  </si>
  <si>
    <t xml:space="preserve">Phone:855-550-0330 </t>
  </si>
  <si>
    <t>orders@ljvascular.com</t>
  </si>
  <si>
    <t>NJ Vein Care</t>
  </si>
  <si>
    <t>info@njveincare.com</t>
  </si>
  <si>
    <t>North Country Thoracic and Vascular</t>
  </si>
  <si>
    <t>docnach@aol.com</t>
  </si>
  <si>
    <t>North Shore Vascular</t>
  </si>
  <si>
    <t>ahmad.bhatti@gmail.com</t>
  </si>
  <si>
    <t>officemanager@ntxvv.com</t>
  </si>
  <si>
    <t>Novasyte LLC</t>
  </si>
  <si>
    <t>ar@novasyte.com</t>
  </si>
  <si>
    <t>Ohio Vein &amp; Vascular</t>
  </si>
  <si>
    <t>briansantin@ohiovascular.com</t>
  </si>
  <si>
    <t>OMNY Vein &amp; Cardiovascular</t>
  </si>
  <si>
    <t>Mobile:(214) 616-1262</t>
  </si>
  <si>
    <t>jmarasigan@omnymd.com</t>
  </si>
  <si>
    <t>OpenAccess</t>
  </si>
  <si>
    <t>opazos@oavac.com</t>
  </si>
  <si>
    <t>OSVI Dermatology</t>
  </si>
  <si>
    <t>kenia@osvidermatology.com</t>
  </si>
  <si>
    <t>Owensboro Medical Practice</t>
  </si>
  <si>
    <t>beenavora@drvora.com</t>
  </si>
  <si>
    <t>Mobile:(352) 633-7502</t>
  </si>
  <si>
    <t>Ozark Vein</t>
  </si>
  <si>
    <t>ftownsley@ozarkvein.com</t>
  </si>
  <si>
    <t>Pacific Heart and Vascular</t>
  </si>
  <si>
    <t>phmgaccountspayable@phmg.org</t>
  </si>
  <si>
    <t>PCI Clinic</t>
  </si>
  <si>
    <t>epoon2006@gmail.com</t>
  </si>
  <si>
    <t>Pedes Orange County</t>
  </si>
  <si>
    <t>Peoria Vein Center</t>
  </si>
  <si>
    <t>troth@vein360.com</t>
  </si>
  <si>
    <t>Peter Patetsios, MD</t>
  </si>
  <si>
    <t xml:space="preserve">Phone:(516) 570-6818 </t>
  </si>
  <si>
    <t>patetsios@gmail.com</t>
  </si>
  <si>
    <t xml:space="preserve">Phone:(281) 593-2899 </t>
  </si>
  <si>
    <t>admin@premiercardiovascular.net</t>
  </si>
  <si>
    <t>Nabil  Ahmad</t>
  </si>
  <si>
    <t>Premier Heart &amp; Vein Care</t>
  </si>
  <si>
    <t>ecembran@premierheartandveincare.com</t>
  </si>
  <si>
    <t xml:space="preserve">Phone:(760) 515-1000 </t>
  </si>
  <si>
    <t>khernandez@provascularmd.com, angelena@provascularmd.com</t>
  </si>
  <si>
    <t>ProVas of Ogden</t>
  </si>
  <si>
    <t xml:space="preserve">Phone:(818) 274-6959 </t>
  </si>
  <si>
    <t>gregory@footandankle.us</t>
  </si>
  <si>
    <t xml:space="preserve">Phone:(713) 804-1959 </t>
  </si>
  <si>
    <t>ap_asc@pulsephysicians.com</t>
  </si>
  <si>
    <t xml:space="preserve">Phone:(630) 364-3900 </t>
  </si>
  <si>
    <t>Simran.Sodhi@pulsehealthusa.com</t>
  </si>
  <si>
    <t>jessica.haley@riaco.com</t>
  </si>
  <si>
    <t>Refine Vein Center</t>
  </si>
  <si>
    <t>areyn81@hotmail.com</t>
  </si>
  <si>
    <t>Renal Medical Center1184</t>
  </si>
  <si>
    <t>dawn.l@renalmed.com</t>
  </si>
  <si>
    <t>Dee@renoveinclinic.com</t>
  </si>
  <si>
    <t>drnate.weller@gmail.com</t>
  </si>
  <si>
    <t>Rio Rancho Veins</t>
  </si>
  <si>
    <t>rioranchovein@gmail.com</t>
  </si>
  <si>
    <t>RJIR Vascular and Oncology Center</t>
  </si>
  <si>
    <t>Mobile:(847) 429-2091</t>
  </si>
  <si>
    <t>rjohnson@rjir.us</t>
  </si>
  <si>
    <t>RMS Lifeline Vascular Care</t>
  </si>
  <si>
    <t>Victoria.Araujo-carrillo@rmslifeline.com</t>
  </si>
  <si>
    <t>Russell C Lam MD PA</t>
  </si>
  <si>
    <t xml:space="preserve">Phone:(214) 345-4160 </t>
  </si>
  <si>
    <t>admin@lamvascular.com</t>
  </si>
  <si>
    <t>Salcedo Medical Center</t>
  </si>
  <si>
    <t>hectorsalcedo@gmail.com</t>
  </si>
  <si>
    <t>San Fernando Valley Vascular</t>
  </si>
  <si>
    <t>vasculargroup@sfvvg.com</t>
  </si>
  <si>
    <t>Sequoia Vein &amp; Wound</t>
  </si>
  <si>
    <t>hilda.delbosque@sequoiavw.com</t>
  </si>
  <si>
    <t>Shahrzad Shareghi MD</t>
  </si>
  <si>
    <t xml:space="preserve">Phone:(805) 203-8264 </t>
  </si>
  <si>
    <t>manager@cvcarecenter.com</t>
  </si>
  <si>
    <t>accountspayable@shannonhealth.org</t>
  </si>
  <si>
    <t xml:space="preserve">Phone:(718) 615-4100 </t>
  </si>
  <si>
    <t>davner1000@aol.com</t>
  </si>
  <si>
    <t>skyaccounts@skylandssurgery.com</t>
  </si>
  <si>
    <t xml:space="preserve">Phone:(908) 852-3301 </t>
  </si>
  <si>
    <t>Somerset Surgical Associates</t>
  </si>
  <si>
    <t>mwitek@somersetsurgical.net</t>
  </si>
  <si>
    <t>Sonoran Vein and Endovascular</t>
  </si>
  <si>
    <t>matt.schlosser@sonoranvein.com, accounting@sonoranvein.com</t>
  </si>
  <si>
    <t>South Bay Vascular Center and Vein Institute</t>
  </si>
  <si>
    <t>medassist@southbayvascular.com</t>
  </si>
  <si>
    <t>Southern Tennessee Cardiology</t>
  </si>
  <si>
    <t xml:space="preserve">Phone:(931) 968-2525 </t>
  </si>
  <si>
    <t>bclarkcardio@gmail.com</t>
  </si>
  <si>
    <t>doc@svsrichardson.com</t>
  </si>
  <si>
    <t>Southwest Vascular and Vein Center</t>
  </si>
  <si>
    <t>cvedamanikam@yahoo.com</t>
  </si>
  <si>
    <t>Speedway</t>
  </si>
  <si>
    <t>Sunrise Vascular Management</t>
  </si>
  <si>
    <t>Mobile:(919) 589-6968</t>
  </si>
  <si>
    <t>coordinator@sunrisevascular.net</t>
  </si>
  <si>
    <t>docmorse2904@gmail.com, officemanagergjvc@gmail.com</t>
  </si>
  <si>
    <t>Suzanne Meyer</t>
  </si>
  <si>
    <t>smeyer.vein360@gmail.com</t>
  </si>
  <si>
    <t xml:space="preserve">Phone:(844) 482-7285 </t>
  </si>
  <si>
    <t>apsynergy@usvascular.com</t>
  </si>
  <si>
    <t>Test Invoice</t>
  </si>
  <si>
    <t>testinvoice@gmail.com</t>
  </si>
  <si>
    <t>Texas Vein Expert</t>
  </si>
  <si>
    <t>deni@txveinexperts.com</t>
  </si>
  <si>
    <t>The Vascular Care Group (Southeastern Vascular)</t>
  </si>
  <si>
    <t>tabetha@veincenterdelaware.com</t>
  </si>
  <si>
    <t>athearn@cincyveins.com</t>
  </si>
  <si>
    <t>andysharifi@yahoo.com</t>
  </si>
  <si>
    <t xml:space="preserve">Phone:(281) 606-5355 </t>
  </si>
  <si>
    <t>mir@twhvc.com</t>
  </si>
  <si>
    <t>Thunderbird Vein</t>
  </si>
  <si>
    <t>lgearhart@myaimhealth.com, nkuhstoss@myaimhealth.com</t>
  </si>
  <si>
    <t xml:space="preserve">Phone:(772) 877-8578 </t>
  </si>
  <si>
    <t>creeves@tlchearts.com</t>
  </si>
  <si>
    <t xml:space="preserve">Phone:(623) 261-2335 </t>
  </si>
  <si>
    <t>amy.grubbs@tlcvascular.com, ryan.robards@tlcvascular.com</t>
  </si>
  <si>
    <t>Trident Vein Center</t>
  </si>
  <si>
    <t>tcunningham@tridentvein.com</t>
  </si>
  <si>
    <t>Twin Hearts, LLC</t>
  </si>
  <si>
    <t xml:space="preserve">Phone:(561) 241-4210 </t>
  </si>
  <si>
    <t>hcameadows@gmail.com</t>
  </si>
  <si>
    <t>Tony  Sheikh</t>
  </si>
  <si>
    <t>United Dairy Farmers</t>
  </si>
  <si>
    <t>United States Treasury</t>
  </si>
  <si>
    <t>UP Medical</t>
  </si>
  <si>
    <t>accountspayable@upmedical.com</t>
  </si>
  <si>
    <t>Utah Cardiology</t>
  </si>
  <si>
    <t>jrdarnell@utahcardiology.com</t>
  </si>
  <si>
    <t>tammy@utahms.com</t>
  </si>
  <si>
    <t xml:space="preserve">Phone:(970) 773-1946 </t>
  </si>
  <si>
    <t>valleysurgical.info@gmail.com</t>
  </si>
  <si>
    <t>Mobile:(623) 258-3255</t>
  </si>
  <si>
    <t>rania@vvvsaz.com</t>
  </si>
  <si>
    <t>rubanoc@aol.com, vancouvervein@gmail.com</t>
  </si>
  <si>
    <t xml:space="preserve">Phone:(860) 761-6666 </t>
  </si>
  <si>
    <t>kaitlyn@vanishingveins.net</t>
  </si>
  <si>
    <t>Vanish, LLC</t>
  </si>
  <si>
    <t>marc@vanishlegveins.com</t>
  </si>
  <si>
    <t>Vascular Center and Vein Clinic of Southern Indiana</t>
  </si>
  <si>
    <t>vascularcenter@yahoo.com</t>
  </si>
  <si>
    <t>Vascular Center of the Midwest</t>
  </si>
  <si>
    <t>invoicesvcm@vcmsurgery.com</t>
  </si>
  <si>
    <t xml:space="preserve">Phone:(480) 722-7589 </t>
  </si>
  <si>
    <t>hanishennib@email.com</t>
  </si>
  <si>
    <t>Vascular Institute of Houston, PLLC</t>
  </si>
  <si>
    <t xml:space="preserve">Phone:(832) 777-7570 </t>
  </si>
  <si>
    <t>ap@TLCvascular.com</t>
  </si>
  <si>
    <t>Vascular Institute of Northern California</t>
  </si>
  <si>
    <t xml:space="preserve">Phone:+19162359100 </t>
  </si>
  <si>
    <t>Vascular Intervention Partners</t>
  </si>
  <si>
    <t xml:space="preserve">Phone:(626) 888-7814 </t>
  </si>
  <si>
    <t>oblholdingsllc@gmail.com</t>
  </si>
  <si>
    <t>Vascular Management and Innovations Group LLC</t>
  </si>
  <si>
    <t>mangroveap@bill.com, ljordan@vascularcaregrp.com</t>
  </si>
  <si>
    <t xml:space="preserve">Phone:(815) 824-4406 </t>
  </si>
  <si>
    <t>mtanquilut@vascspecialists.org</t>
  </si>
  <si>
    <t>achi@vascularspecialists-de.com</t>
  </si>
  <si>
    <t>lmorales@vesa-la.com, ccorral@vesa-la.com</t>
  </si>
  <si>
    <t>Vein 911</t>
  </si>
  <si>
    <t>accounts@vein911.com, cpittman@vein911.com</t>
  </si>
  <si>
    <t>Vein &amp; Aesthetics of Tucson</t>
  </si>
  <si>
    <t>Vein Center of North Texas</t>
  </si>
  <si>
    <t xml:space="preserve">Phone:(903) 893-0123 </t>
  </si>
  <si>
    <t>sunni@vcnt.com</t>
  </si>
  <si>
    <t>jwgeuder@gmail.com</t>
  </si>
  <si>
    <t>Vein Clinic of Las Vegas</t>
  </si>
  <si>
    <t>majid.bashy@yahoo.com</t>
  </si>
  <si>
    <t xml:space="preserve">Phone:(915) 533-5100 </t>
  </si>
  <si>
    <t>avaldezcvd3@gmail.com</t>
  </si>
  <si>
    <t>mandi@veinenvy.com</t>
  </si>
  <si>
    <t>Vein Health Clinics</t>
  </si>
  <si>
    <t>ap@veinhealthclinics.com</t>
  </si>
  <si>
    <t>Vein Innovations</t>
  </si>
  <si>
    <t>Vein-ity Vein Care Centers of Kansas</t>
  </si>
  <si>
    <t>allysonwalker09@gmail.com</t>
  </si>
  <si>
    <t>Vein MSO LLC</t>
  </si>
  <si>
    <t xml:space="preserve">Phone:8637014808 </t>
  </si>
  <si>
    <t>Chris  Meyer</t>
  </si>
  <si>
    <t>Vein Solutions</t>
  </si>
  <si>
    <t xml:space="preserve">Phone:9373183400 </t>
  </si>
  <si>
    <t>jdemeter@woh.rr.com</t>
  </si>
  <si>
    <t>Vein Specialists -</t>
  </si>
  <si>
    <t xml:space="preserve">Phone:(239) 204-5287 </t>
  </si>
  <si>
    <t>lshue@weknowveins.com</t>
  </si>
  <si>
    <t xml:space="preserve">Phone:704-861-2072 </t>
  </si>
  <si>
    <t>accountsreceivable@veinscarolina.com</t>
  </si>
  <si>
    <t>Kim  Draughn</t>
  </si>
  <si>
    <t>Vein Treatment Centers of New Jersey</t>
  </si>
  <si>
    <t>hadayamd@aol.com</t>
  </si>
  <si>
    <t xml:space="preserve">Phone:(714) 366-6666 </t>
  </si>
  <si>
    <t>rebecca@venoustechs.com</t>
  </si>
  <si>
    <t>Vida Vascular</t>
  </si>
  <si>
    <t xml:space="preserve">Phone:(240) 412-0051 </t>
  </si>
  <si>
    <t>wjunker@vidavascular.com</t>
  </si>
  <si>
    <t>Viera Heart &amp; Vascular</t>
  </si>
  <si>
    <t>hjeong3275@me.com, sun@vieraheart.com</t>
  </si>
  <si>
    <t>ap@villagemd.com</t>
  </si>
  <si>
    <t>Vitality Vein Care</t>
  </si>
  <si>
    <t xml:space="preserve">Phone:(469) 750-2277 </t>
  </si>
  <si>
    <t>vvc@vitalityveincare.com</t>
  </si>
  <si>
    <t>westcoast.medicine.cardiology@gmail.com</t>
  </si>
  <si>
    <t>Western Vascular Institute</t>
  </si>
  <si>
    <t>ap@westernvascular.com</t>
  </si>
  <si>
    <t>Weston Veins Clinic</t>
  </si>
  <si>
    <t>Willamette Vascular Specialists</t>
  </si>
  <si>
    <t>arenteria@wvsoregon.com</t>
  </si>
  <si>
    <t>Windy City Veins</t>
  </si>
  <si>
    <t>parolpitroda@yahoo.com</t>
  </si>
  <si>
    <t>Women's Health Institute</t>
  </si>
  <si>
    <t xml:space="preserve">Phone:(478) 746-2888 </t>
  </si>
  <si>
    <t>office@womenshealthmacon.com</t>
  </si>
  <si>
    <t>Woodlands Heart &amp; Vascular Institute PLLC</t>
  </si>
  <si>
    <t>David@whvi.net</t>
  </si>
  <si>
    <t>Zeni Interventional, PLLC</t>
  </si>
  <si>
    <t xml:space="preserve">Phone:(901) 779-5000 </t>
  </si>
  <si>
    <t>teri@zenithmemphis.com</t>
  </si>
  <si>
    <t>Zenith Health and Aesthetics</t>
  </si>
  <si>
    <t xml:space="preserve">Phone:9017795000 </t>
  </si>
  <si>
    <t>payments@zenithmemphis.com</t>
  </si>
  <si>
    <t>Accrual Basis Thursday, June 19, 2025 01:17 PM GMTZ</t>
  </si>
  <si>
    <t>Cc'd</t>
  </si>
  <si>
    <t>13669</t>
  </si>
  <si>
    <t>contact@vidavascular.com</t>
  </si>
  <si>
    <t>todd@womenshealthmacon.com</t>
  </si>
  <si>
    <t>cassandra.alicea@chesapeakeveincenter.com</t>
  </si>
  <si>
    <t>invoice@riaco.com</t>
  </si>
  <si>
    <t>Oceana Vein Specialists</t>
  </si>
  <si>
    <t>Phoenix Heart and Vascular</t>
  </si>
  <si>
    <t>13863</t>
  </si>
  <si>
    <t>office@livingwatervein.com</t>
  </si>
  <si>
    <t>CVC_accounting@CVCFL.com</t>
  </si>
  <si>
    <t xml:space="preserve">
Davidf@cvcfl.com, lynnf@cvcfl.com</t>
  </si>
  <si>
    <t>Advanced Vein Center</t>
  </si>
  <si>
    <t>13927</t>
  </si>
  <si>
    <t>Minimally Invasive Vascular Center</t>
  </si>
  <si>
    <t>13923</t>
  </si>
  <si>
    <t>13936</t>
  </si>
  <si>
    <t>Nasser Cardiology &amp; Vein Center</t>
  </si>
  <si>
    <t>Commonwealth Vein Center</t>
  </si>
  <si>
    <t>04/05/2023</t>
  </si>
  <si>
    <t>05/05/2023</t>
  </si>
  <si>
    <t>06/16/2023</t>
  </si>
  <si>
    <t>07/16/2023</t>
  </si>
  <si>
    <t>07/25/2023</t>
  </si>
  <si>
    <t>08/24/2023</t>
  </si>
  <si>
    <t>10/19/2023</t>
  </si>
  <si>
    <t>11/18/2023</t>
  </si>
  <si>
    <t>03/18/2025</t>
  </si>
  <si>
    <t>04/17/2025</t>
  </si>
  <si>
    <t>05/16/2025</t>
  </si>
  <si>
    <t>06/15/2025</t>
  </si>
  <si>
    <t>07/09/2025</t>
  </si>
  <si>
    <t>06/10/2025</t>
  </si>
  <si>
    <t>07/10/2025</t>
  </si>
  <si>
    <t>07/16/2025</t>
  </si>
  <si>
    <t>07/18/2025</t>
  </si>
  <si>
    <t>06/26/2025</t>
  </si>
  <si>
    <t>07/26/2025</t>
  </si>
  <si>
    <t>07/01/2025</t>
  </si>
  <si>
    <t>07/31/2025</t>
  </si>
  <si>
    <t>07/08/2025</t>
  </si>
  <si>
    <t>08/07/2025</t>
  </si>
  <si>
    <t>08/08/2025</t>
  </si>
  <si>
    <t>08/15/2025</t>
  </si>
  <si>
    <t>Advanced Miami ASC</t>
  </si>
  <si>
    <t>14014</t>
  </si>
  <si>
    <t>Surgical Consultants of Central Florida</t>
  </si>
  <si>
    <t>Conway Cardiovascular Surgery Center</t>
  </si>
  <si>
    <t>08/17/2025</t>
  </si>
  <si>
    <t>14043</t>
  </si>
  <si>
    <t>14044</t>
  </si>
  <si>
    <t>Vascular Center of Southern Indiana Surgery</t>
  </si>
  <si>
    <t>Coastal Vein Care</t>
  </si>
  <si>
    <t>08/27/2025</t>
  </si>
  <si>
    <t>08/29/2025</t>
  </si>
  <si>
    <t>08/30/2025</t>
  </si>
  <si>
    <t>14175</t>
  </si>
  <si>
    <t>09/03/2025</t>
  </si>
  <si>
    <t>09/04/2025</t>
  </si>
  <si>
    <t>Vascular Institute of the Pines</t>
  </si>
  <si>
    <t>08/11/2025</t>
  </si>
  <si>
    <t>09/10/2025</t>
  </si>
  <si>
    <t>Advanced Vascular</t>
  </si>
  <si>
    <t>09/14/2025</t>
  </si>
  <si>
    <t>08/18/2025</t>
  </si>
  <si>
    <t>09/17/2025</t>
  </si>
  <si>
    <t>14339</t>
  </si>
  <si>
    <t>10/17/2025</t>
  </si>
  <si>
    <t>08/26/2025</t>
  </si>
  <si>
    <t>09/25/2025</t>
  </si>
  <si>
    <t>14379</t>
  </si>
  <si>
    <t>Reincke Vein Center</t>
  </si>
  <si>
    <t>14403</t>
  </si>
  <si>
    <t>14288</t>
  </si>
  <si>
    <t>09/24/2025</t>
  </si>
  <si>
    <t>14484</t>
  </si>
  <si>
    <t>09/26/2025</t>
  </si>
  <si>
    <t>14427</t>
  </si>
  <si>
    <t>09/28/2025</t>
  </si>
  <si>
    <t>Heart Artery &amp; Vein Center</t>
  </si>
  <si>
    <t>10/02/2025</t>
  </si>
  <si>
    <t>10/26/2025</t>
  </si>
  <si>
    <t>14268</t>
  </si>
  <si>
    <t>14509</t>
  </si>
  <si>
    <t>10/03/2025</t>
  </si>
  <si>
    <t>Pinnacle Vascular Institute</t>
  </si>
  <si>
    <t>14518</t>
  </si>
  <si>
    <t>10/08/2025</t>
  </si>
  <si>
    <t>09/09/2025</t>
  </si>
  <si>
    <t>14536</t>
  </si>
  <si>
    <t>10/09/2025</t>
  </si>
  <si>
    <t>14538</t>
  </si>
  <si>
    <t>14516</t>
  </si>
  <si>
    <t>11/03/2025</t>
  </si>
  <si>
    <t>10/10/2025</t>
  </si>
  <si>
    <t>14554</t>
  </si>
  <si>
    <t>14557</t>
  </si>
  <si>
    <t>14558</t>
  </si>
  <si>
    <t>14560</t>
  </si>
  <si>
    <t>14562</t>
  </si>
  <si>
    <t>14571</t>
  </si>
  <si>
    <t>Connecticut Vascular Center</t>
  </si>
  <si>
    <t>10/15/2025</t>
  </si>
  <si>
    <t>09/16/2025</t>
  </si>
  <si>
    <t>10/16/2025</t>
  </si>
  <si>
    <t>14581</t>
  </si>
  <si>
    <t>14584</t>
  </si>
  <si>
    <t>14589</t>
  </si>
  <si>
    <t>14591</t>
  </si>
  <si>
    <t>14599</t>
  </si>
  <si>
    <t>14604</t>
  </si>
  <si>
    <t>14607</t>
  </si>
  <si>
    <t>09/19/2025</t>
  </si>
  <si>
    <t>10/19/2025</t>
  </si>
  <si>
    <t>14631</t>
  </si>
  <si>
    <t>14633</t>
  </si>
  <si>
    <t>10/22/2025</t>
  </si>
  <si>
    <t>09/23/2025</t>
  </si>
  <si>
    <t>10/23/2025</t>
  </si>
  <si>
    <t>14601</t>
  </si>
  <si>
    <t>11/16/2025</t>
  </si>
  <si>
    <t>14651</t>
  </si>
  <si>
    <t>City Surgical of Manhattan (fka Integrative Health Of NY)</t>
  </si>
  <si>
    <t>14716</t>
  </si>
  <si>
    <t>10/24/2025</t>
  </si>
  <si>
    <t>10/25/2025</t>
  </si>
  <si>
    <t>14713</t>
  </si>
  <si>
    <t>14669</t>
  </si>
  <si>
    <t>14677</t>
  </si>
  <si>
    <t>14711</t>
  </si>
  <si>
    <t>14712</t>
  </si>
  <si>
    <t>The Vein Clinic of Dallas</t>
  </si>
  <si>
    <t>14744</t>
  </si>
  <si>
    <t>09/30/2025</t>
  </si>
  <si>
    <t>14727</t>
  </si>
  <si>
    <t>10/30/2025</t>
  </si>
  <si>
    <t>10/01/2025</t>
  </si>
  <si>
    <t>10/31/2025</t>
  </si>
  <si>
    <t>14739</t>
  </si>
  <si>
    <t>11/01/2025</t>
  </si>
  <si>
    <t>14749</t>
  </si>
  <si>
    <t>14753</t>
  </si>
  <si>
    <t>14756</t>
  </si>
  <si>
    <t>14757</t>
  </si>
  <si>
    <t>11/02/2025</t>
  </si>
  <si>
    <t>14754</t>
  </si>
  <si>
    <t>10/06/2025</t>
  </si>
  <si>
    <t>11/05/2025</t>
  </si>
  <si>
    <t>10/07/2025</t>
  </si>
  <si>
    <t>11/06/2025</t>
  </si>
  <si>
    <t>Family Health West</t>
  </si>
  <si>
    <t>11/07/2025</t>
  </si>
  <si>
    <t>14775</t>
  </si>
  <si>
    <t>11/08/2025</t>
  </si>
  <si>
    <t>14776</t>
  </si>
  <si>
    <t>14777</t>
  </si>
  <si>
    <t>14778</t>
  </si>
  <si>
    <t>14780</t>
  </si>
  <si>
    <t>14782</t>
  </si>
  <si>
    <t>14783</t>
  </si>
  <si>
    <t>14786</t>
  </si>
  <si>
    <t>14788</t>
  </si>
  <si>
    <t>Coastal Vascular LLC</t>
  </si>
  <si>
    <t>14791</t>
  </si>
  <si>
    <t>14806</t>
  </si>
  <si>
    <t>14810</t>
  </si>
  <si>
    <t>14813</t>
  </si>
  <si>
    <t>14817</t>
  </si>
  <si>
    <t>14818</t>
  </si>
  <si>
    <t>14830</t>
  </si>
  <si>
    <t>14831</t>
  </si>
  <si>
    <t>14832</t>
  </si>
  <si>
    <t>14834</t>
  </si>
  <si>
    <t>14835</t>
  </si>
  <si>
    <t>14838</t>
  </si>
  <si>
    <t>14839</t>
  </si>
  <si>
    <t>14840</t>
  </si>
  <si>
    <t>14842</t>
  </si>
  <si>
    <t>11/09/2025</t>
  </si>
  <si>
    <t>14844</t>
  </si>
  <si>
    <t>Precision Surgical Inc</t>
  </si>
  <si>
    <t>14849</t>
  </si>
  <si>
    <t>10/13/2025</t>
  </si>
  <si>
    <t>11/12/2025</t>
  </si>
  <si>
    <t>14855</t>
  </si>
  <si>
    <t>14858</t>
  </si>
  <si>
    <t>10/14/2025</t>
  </si>
  <si>
    <t>14872</t>
  </si>
  <si>
    <t>11/13/2025</t>
  </si>
  <si>
    <t>14873</t>
  </si>
  <si>
    <t>14880</t>
  </si>
  <si>
    <t>14885</t>
  </si>
  <si>
    <t>14886</t>
  </si>
  <si>
    <t>14887</t>
  </si>
  <si>
    <t>Dominion Cardiology</t>
  </si>
  <si>
    <t>14888</t>
  </si>
  <si>
    <t>14889</t>
  </si>
  <si>
    <t>14890</t>
  </si>
  <si>
    <t>14891</t>
  </si>
  <si>
    <t>14894</t>
  </si>
  <si>
    <t>14895</t>
  </si>
  <si>
    <t>14896</t>
  </si>
  <si>
    <t>14897</t>
  </si>
  <si>
    <t>Cardiology and Vascular Associates</t>
  </si>
  <si>
    <t>14898</t>
  </si>
  <si>
    <t>14901</t>
  </si>
  <si>
    <t>14902</t>
  </si>
  <si>
    <t>14761</t>
  </si>
  <si>
    <t>12/06/2025</t>
  </si>
  <si>
    <t>14949</t>
  </si>
  <si>
    <t>14943</t>
  </si>
  <si>
    <t>14944</t>
  </si>
  <si>
    <t>14941</t>
  </si>
  <si>
    <t>14942</t>
  </si>
  <si>
    <t>14935</t>
  </si>
  <si>
    <t>14936</t>
  </si>
  <si>
    <t>14937</t>
  </si>
  <si>
    <t>14938</t>
  </si>
  <si>
    <t>14939</t>
  </si>
  <si>
    <t>14934</t>
  </si>
  <si>
    <t>14933</t>
  </si>
  <si>
    <t>14930</t>
  </si>
  <si>
    <t>14932</t>
  </si>
  <si>
    <t>11/14/2025</t>
  </si>
  <si>
    <t>14914</t>
  </si>
  <si>
    <t>14915</t>
  </si>
  <si>
    <t>14916</t>
  </si>
  <si>
    <t>14918</t>
  </si>
  <si>
    <t>10/20/2025</t>
  </si>
  <si>
    <t>14950</t>
  </si>
  <si>
    <t>11/19/2025</t>
  </si>
  <si>
    <t>14955</t>
  </si>
  <si>
    <t>14956</t>
  </si>
  <si>
    <t>14957</t>
  </si>
  <si>
    <t>14900</t>
  </si>
  <si>
    <t>14966</t>
  </si>
  <si>
    <t>14965</t>
  </si>
  <si>
    <t>10/21/2025</t>
  </si>
  <si>
    <t>14959</t>
  </si>
  <si>
    <t>11/20/2025</t>
  </si>
  <si>
    <t>14963</t>
  </si>
  <si>
    <t>14980</t>
  </si>
  <si>
    <t>14969</t>
  </si>
  <si>
    <t>11/21/2025</t>
  </si>
  <si>
    <t>14970</t>
  </si>
  <si>
    <t>14971</t>
  </si>
  <si>
    <t>14972</t>
  </si>
  <si>
    <t>14973</t>
  </si>
  <si>
    <t>14974</t>
  </si>
  <si>
    <t>14975</t>
  </si>
  <si>
    <t>Aiken Vascular Specialists PC</t>
  </si>
  <si>
    <t>14976</t>
  </si>
  <si>
    <t>Vital Heart &amp; Vein</t>
  </si>
  <si>
    <t>14977</t>
  </si>
  <si>
    <t>14981</t>
  </si>
  <si>
    <t>11/22/2025</t>
  </si>
  <si>
    <t>14982</t>
  </si>
  <si>
    <t>14983</t>
  </si>
  <si>
    <t>14984</t>
  </si>
  <si>
    <t>14985</t>
  </si>
  <si>
    <t>14986</t>
  </si>
  <si>
    <t>14988</t>
  </si>
  <si>
    <t>14990</t>
  </si>
  <si>
    <t>14991</t>
  </si>
  <si>
    <t>14992</t>
  </si>
  <si>
    <t>14994</t>
  </si>
  <si>
    <t>Dr. James Geuder FKA Vein Center of Oradell</t>
  </si>
  <si>
    <t>14995</t>
  </si>
  <si>
    <t>14996</t>
  </si>
  <si>
    <t>14997</t>
  </si>
  <si>
    <t>14998</t>
  </si>
  <si>
    <t>14999</t>
  </si>
  <si>
    <t>15001</t>
  </si>
  <si>
    <t>15002</t>
  </si>
  <si>
    <t>15004</t>
  </si>
  <si>
    <t>Cochise Heart and Vascular Center</t>
  </si>
  <si>
    <t>15011</t>
  </si>
  <si>
    <t>15005</t>
  </si>
  <si>
    <t>11/23/2025</t>
  </si>
  <si>
    <t>15006</t>
  </si>
  <si>
    <t>15007</t>
  </si>
  <si>
    <t>15008</t>
  </si>
  <si>
    <t>15010</t>
  </si>
  <si>
    <t>15012</t>
  </si>
  <si>
    <t>GSC-Gilbert</t>
  </si>
  <si>
    <t>12/18/2025</t>
  </si>
  <si>
    <t>15000</t>
  </si>
  <si>
    <t>12/22/2025</t>
  </si>
  <si>
    <t>15030</t>
  </si>
  <si>
    <t>15024</t>
  </si>
  <si>
    <t>15025</t>
  </si>
  <si>
    <t>15026</t>
  </si>
  <si>
    <t>15027</t>
  </si>
  <si>
    <t>15028</t>
  </si>
  <si>
    <t>15022</t>
  </si>
  <si>
    <t>15023</t>
  </si>
  <si>
    <t>10/27/2025</t>
  </si>
  <si>
    <t>15021</t>
  </si>
  <si>
    <t>11/26/2025</t>
  </si>
  <si>
    <t>15076</t>
  </si>
  <si>
    <t>15077</t>
  </si>
  <si>
    <t>10/28/2025</t>
  </si>
  <si>
    <t>15063</t>
  </si>
  <si>
    <t>11/27/2025</t>
  </si>
  <si>
    <t>15064</t>
  </si>
  <si>
    <t>15068</t>
  </si>
  <si>
    <t>10/29/2025</t>
  </si>
  <si>
    <t>15033</t>
  </si>
  <si>
    <t>11/28/2025</t>
  </si>
  <si>
    <t>15034</t>
  </si>
  <si>
    <t>15035</t>
  </si>
  <si>
    <t>15036</t>
  </si>
  <si>
    <t>15050</t>
  </si>
  <si>
    <t>15056</t>
  </si>
  <si>
    <t>15059</t>
  </si>
  <si>
    <t>15060</t>
  </si>
  <si>
    <t>15061</t>
  </si>
  <si>
    <t>15067</t>
  </si>
  <si>
    <t>15069</t>
  </si>
  <si>
    <t>15070</t>
  </si>
  <si>
    <t>15071</t>
  </si>
  <si>
    <t>15072</t>
  </si>
  <si>
    <t>15107</t>
  </si>
  <si>
    <t>15108</t>
  </si>
  <si>
    <t>Kern Vascular Center</t>
  </si>
  <si>
    <t>15109</t>
  </si>
  <si>
    <t>15110</t>
  </si>
  <si>
    <t>15111</t>
  </si>
  <si>
    <t>15082</t>
  </si>
  <si>
    <t>11/29/2025</t>
  </si>
  <si>
    <t>15083</t>
  </si>
  <si>
    <t>15084</t>
  </si>
  <si>
    <t>15085</t>
  </si>
  <si>
    <t>15086</t>
  </si>
  <si>
    <t>15087</t>
  </si>
  <si>
    <t>15088</t>
  </si>
  <si>
    <t>15089</t>
  </si>
  <si>
    <t>iThriveVeins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</si>
  <si>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</si>
  <si>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</si>
  <si>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</si>
  <si>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</si>
  <si>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</si>
  <si>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</si>
  <si>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</si>
  <si>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</si>
  <si>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15112</t>
  </si>
  <si>
    <t>15124</t>
  </si>
  <si>
    <t>15119</t>
  </si>
  <si>
    <t>Upland Surgical Associates</t>
  </si>
  <si>
    <t>11/30/2025</t>
  </si>
  <si>
    <t>15123</t>
  </si>
  <si>
    <t>15120</t>
  </si>
  <si>
    <t>12/03/2025</t>
  </si>
  <si>
    <t>15121</t>
  </si>
  <si>
    <t>Sanova Dermatology</t>
  </si>
  <si>
    <t>15122</t>
  </si>
  <si>
    <t>15128</t>
  </si>
  <si>
    <t>15129</t>
  </si>
  <si>
    <t>11/04/2025</t>
  </si>
  <si>
    <t>15127</t>
  </si>
  <si>
    <t>12/04/2025</t>
  </si>
  <si>
    <t>15073</t>
  </si>
  <si>
    <t>12/27/2025</t>
  </si>
  <si>
    <t>15058</t>
  </si>
  <si>
    <t>12/28/2025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</si>
</sst>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#,##0.00\ _€"/>
    <numFmt numFmtId="165" formatCode="_-* #,##0_-;\-* #,##0_-;_-* &quot;-&quot;??_-;_-@_-"/>
    <numFmt numFmtId="166" formatCode="mm/dd/yyyy\ hh:mm:ss\ \a"/>
  </numFmts>
  <fonts count="18">
    <font>
      <sz val="11"/>
      <color indexed="8"/>
      <name val="Aptos Narrow"/>
      <family val="2"/>
      <scheme val="minor"/>
    </font>
    <font>
      <b/>
      <sz val="8"/>
      <color indexed="8"/>
      <name val="Arial"/>
      <family val="2"/>
    </font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sz val="11"/>
      <color theme="4" tint="0.39997558519241921"/>
      <name val="Aptos Narrow"/>
      <family val="2"/>
      <scheme val="minor"/>
    </font>
    <font>
      <sz val="8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8"/>
      <color rgb="FF333333"/>
      <name val="Arial"/>
      <family val="2"/>
    </font>
    <font>
      <sz val="7"/>
      <color rgb="FF333333"/>
      <name val="Arial"/>
      <family val="2"/>
    </font>
    <font>
      <sz val="11"/>
      <color theme="8" tint="0.3999755851924192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  <font>
      <sz val="11"/>
      <color theme="2" tint="-0.74999237037263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0" fillId="0" borderId="0"/>
    <xf numFmtId="0" fontId="11" fillId="0" borderId="1"/>
  </cellStyleXfs>
  <cellXfs count="38">
    <xf numFmtId="0" fontId="0" fillId="0" borderId="0" xfId="0"/>
    <xf numFmtId="0" fontId="1" fillId="0" borderId="0" xfId="0" applyFont="1" applyAlignment="1">
      <alignment horizontal="lef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1" applyNumberFormat="1" applyFont="1"/>
    <xf numFmtId="165" fontId="0" fillId="0" borderId="0" xfId="0" applyNumberFormat="1"/>
    <xf numFmtId="165" fontId="3" fillId="2" borderId="0" xfId="0" applyNumberFormat="1" applyFont="1" applyFill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3" fillId="2" borderId="2" xfId="0" applyFont="1" applyFill="1" applyBorder="1"/>
    <xf numFmtId="43" fontId="0" fillId="0" borderId="0" xfId="0" applyNumberFormat="1"/>
    <xf numFmtId="0" fontId="0" fillId="0" borderId="0" xfId="0" pivotButton="1" applyAlignment="1">
      <alignment horizontal="center" vertical="center"/>
    </xf>
    <xf numFmtId="9" fontId="0" fillId="0" borderId="0" xfId="2" applyFont="1"/>
    <xf numFmtId="0" fontId="6" fillId="4" borderId="0" xfId="0" applyFont="1" applyFill="1"/>
    <xf numFmtId="165" fontId="0" fillId="0" borderId="0" xfId="0" applyNumberFormat="1" applyAlignment="1">
      <alignment horizontal="center" vertical="center"/>
    </xf>
    <xf numFmtId="165" fontId="0" fillId="5" borderId="0" xfId="0" applyNumberFormat="1" applyFill="1"/>
    <xf numFmtId="165" fontId="0" fillId="4" borderId="0" xfId="0" applyNumberFormat="1" applyFill="1"/>
    <xf numFmtId="0" fontId="8" fillId="0" borderId="0" xfId="0" applyFont="1"/>
    <xf numFmtId="0" fontId="9" fillId="0" borderId="0" xfId="0" applyFont="1" applyAlignment="1">
      <alignment wrapText="1"/>
    </xf>
    <xf numFmtId="4" fontId="9" fillId="0" borderId="0" xfId="0" applyNumberFormat="1" applyFont="1" applyAlignment="1">
      <alignment wrapText="1"/>
    </xf>
    <xf numFmtId="0" fontId="10" fillId="0" borderId="0" xfId="3"/>
    <xf numFmtId="0" fontId="12" fillId="0" borderId="1" xfId="4" applyFont="1" applyAlignment="1">
      <alignment horizontal="center" wrapText="1"/>
    </xf>
    <xf numFmtId="0" fontId="9" fillId="0" borderId="0" xfId="3" applyFont="1" applyAlignment="1">
      <alignment horizontal="left" wrapText="1"/>
    </xf>
    <xf numFmtId="0" fontId="9" fillId="0" borderId="0" xfId="3" applyFont="1" applyAlignment="1">
      <alignment wrapText="1"/>
    </xf>
    <xf numFmtId="0" fontId="10" fillId="0" borderId="0" xfId="3" applyAlignment="1">
      <alignment wrapText="1"/>
    </xf>
    <xf numFmtId="0" fontId="13" fillId="0" borderId="0" xfId="0" applyFont="1"/>
    <xf numFmtId="0" fontId="14" fillId="0" borderId="0" xfId="0" applyFont="1"/>
    <xf numFmtId="166" fontId="9" fillId="0" borderId="0" xfId="0" applyNumberFormat="1" applyFont="1" applyAlignment="1">
      <alignment wrapText="1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9" fillId="0" borderId="0" xfId="3" applyFont="1" applyAlignment="1">
      <alignment horizontal="center" wrapText="1"/>
    </xf>
    <xf numFmtId="0" fontId="10" fillId="0" borderId="0" xfId="3" applyAlignment="1">
      <alignment wrapText="1"/>
    </xf>
  </cellXfs>
  <cellStyles count="5">
    <cellStyle name="Comma" xfId="1" builtinId="3"/>
    <cellStyle name="HeaderCellStyle" xfId="4"/>
    <cellStyle name="Normal" xfId="0" builtinId="0"/>
    <cellStyle name="Normal 2" xfId="3"/>
    <cellStyle name="Percent" xfId="2" builtinId="5"/>
  </cellStyles>
  <dxfs count="19"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5" formatCode="_-* #,##0_-;\-* #,##0_-;_-* &quot;-&quot;??_-;_-@_-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afiRashid/Downloads/Weekly%20AR%20Report%20-%20Vein%20360%20-%20Week%20ending%2002-3-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afi Rashid" refreshedDate="45709.524738310189" createdVersion="8" refreshedVersion="8" minRefreshableVersion="3" recordCount="162">
  <cacheSource type="worksheet">
    <worksheetSource ref="A1:I163" sheet="Complete AR Data" r:id="rId2"/>
  </cacheSource>
  <cacheFields count="9">
    <cacheField name="Aging Bucket" numFmtId="0">
      <sharedItems count="5">
        <s v="91 + Days"/>
        <s v="61-90 Days"/>
        <s v="31-60 Days"/>
        <s v="1-30 Days"/>
        <s v="Current"/>
      </sharedItems>
    </cacheField>
    <cacheField name="Date" numFmtId="0">
      <sharedItems/>
    </cacheField>
    <cacheField name="Transaction Type" numFmtId="0">
      <sharedItems/>
    </cacheField>
    <cacheField name="Num" numFmtId="0">
      <sharedItems containsBlank="1" containsMixedTypes="1" containsNumber="1" containsInteger="1" minValue="1956" maxValue="12627"/>
    </cacheField>
    <cacheField name="Customer" numFmtId="0">
      <sharedItems count="66">
        <s v="Institute of Internal Medicine"/>
        <s v="Central Arkansas Vein Clinic"/>
        <s v="Venous Techs"/>
        <s v="Associates in Vascular Care New Jersey"/>
        <s v="Premier Cardiovascular Consultants PC"/>
        <s v="Advanced Vein and Vascular"/>
        <s v="Center for Cardiovascular Excellence"/>
        <s v="Amavita Heart &amp; Vascular"/>
        <s v="Apex Cardiology"/>
        <s v="Borowicz Vascular"/>
        <s v="Medline"/>
        <s v="Skylands Vascular Specialists"/>
        <s v="Central PA Physicians Group"/>
        <s v="Elite Veins NY"/>
        <s v="Dr. Nabil Abudayeh"/>
        <s v="Heart and Vascular Consultants"/>
        <s v="Pulse Healthcare"/>
        <s v="Integrative Health of New York"/>
        <s v="Beach Cities Vein &amp; Laser Center"/>
        <s v="Vein Center of Oradell"/>
        <s v="Valley Vein &amp; Vascular"/>
        <s v="West Coast Medicine and Cardiology"/>
        <s v="Utah Musculoskeletal Specialists"/>
        <s v="Palomar Health"/>
        <s v="Graham Health System"/>
        <s v="Sinai Diagnostics"/>
        <s v="Bellamah Vein Center-"/>
        <s v="Lake Cardiovascular Diagnostic Center."/>
        <s v="North Shore Vascular"/>
        <s v="Dr. Janet H Lee"/>
        <s v="Heart Vascular and Leg Center Bakersfield"/>
        <s v="North Texas Vein and Vascular1085"/>
        <s v="Fox Vein Care"/>
        <s v="Center for Advanced Vein Care"/>
        <s v="Cardiovascular Clinic of West Tennessee"/>
        <s v="Innovative Vein Therapies"/>
        <s v="Vascular Center of the Midwest"/>
        <s v="Pacific Cardiovascular/West Coast Surgical"/>
        <s v="Cardiovascular Specialist Ohio"/>
        <s v="Bergen Surgical Specialists"/>
        <s v="Dakota Vascular."/>
        <s v="Douglas Vascular Center, LLC"/>
        <s v="Surgical Associates of Western Colorado"/>
        <s v="La Jolla Vein Center"/>
        <s v="Altoona Vein Care"/>
        <s v="Synergy Supply Solutions"/>
        <s v="Vascular Specialists"/>
        <s v="TLC Vascular"/>
        <s v="Vein Envy"/>
        <s v="Medical Association of Northeast LA1058"/>
        <s v="Dayton Outpatient Center"/>
        <s v="Florida Vein Care Specialists Ft. Myers"/>
        <s v="Davis Vein &amp; Vascular Center"/>
        <s v="Illinois Surgical Specialist"/>
        <s v="Center for Varicose Veins"/>
        <s v="Dr. Nazimi A. Elrabie"/>
        <s v="Apex Management Service Organization LLC"/>
        <s v="NG Vascular &amp; Vein Center"/>
        <s v="Women's Health Institute"/>
        <s v="Minimally Invasive Surgical Solutions Medical"/>
        <s v="Evolves Vascular Lab"/>
        <s v="Aiyan Diabetes Center"/>
        <s v="Advanced Cardiology of South Jersey"/>
        <s v="Mecklenburg Heart Specialists"/>
        <s v="Adventist Health System West"/>
        <s v="California Vein &amp; Wound Center"/>
      </sharedItems>
    </cacheField>
    <cacheField name="Due Date" numFmtId="0">
      <sharedItems/>
    </cacheField>
    <cacheField name="Amount" numFmtId="164">
      <sharedItems containsSemiMixedTypes="0" containsString="0" containsNumber="1" minValue="-2681.98" maxValue="11857.63"/>
    </cacheField>
    <cacheField name="Open Balance" numFmtId="164">
      <sharedItems containsSemiMixedTypes="0" containsString="0" containsNumber="1" minValue="-1850.54" maxValue="11857.63"/>
    </cacheField>
    <cacheField name="Notes" numFmtId="0">
      <sharedItems count="4">
        <s v="Qualified AR for Collection"/>
        <s v="Open Payments"/>
        <s v="Do Not Contact"/>
        <s v="Not D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Noman" refreshedDate="45966.497370138888" createdVersion="6" refreshedVersion="6" minRefreshableVersion="3" recordCount="229">
  <cacheSource type="worksheet">
    <worksheetSource ref="A1:H230" sheet="A R Aging Detail"/>
  </cacheSource>
  <cacheFields count="8">
    <cacheField name="Aging" numFmtId="0">
      <sharedItems count="5">
        <s v="91 + Days"/>
        <s v="61-90 Days"/>
        <s v="31-60 Days"/>
        <s v="1 - 30 Days"/>
        <s v="Current"/>
      </sharedItems>
    </cacheField>
    <cacheField name="Date" numFmtId="0">
      <sharedItems/>
    </cacheField>
    <cacheField name="Transaction Type" numFmtId="0">
      <sharedItems/>
    </cacheField>
    <cacheField name="Num" numFmtId="0">
      <sharedItems/>
    </cacheField>
    <cacheField name="Customer" numFmtId="0">
      <sharedItems count="104">
        <s v="Venous Techs"/>
        <s v="Associates in Vascular Care New Jersey"/>
        <s v="Premier Cardiovascular Consultants PC"/>
        <s v="Advanced Vein and Vascular"/>
        <s v="Aiyan Diabetes Center"/>
        <s v="TLC Medical Group"/>
        <s v="City Surgical of Manhattan (fka Integrative Health Of NY)"/>
        <s v="Lone Star Heart and Vascular Center"/>
        <s v="Minimally Invasive Vascular Center"/>
        <s v="Sinai Diagnostics"/>
        <s v="Nasser Cardiology &amp; Vein Center"/>
        <s v="Fox Vein Care"/>
        <s v="FVCS Ft. Myers"/>
        <s v="Advanced Miami ASC"/>
        <s v="Commonwealth Vein Center"/>
        <s v="RMS Lifeline Vascular Care"/>
        <s v="Bellamah Vein Center"/>
        <s v="Pulse Urgent Care and Vascular Center"/>
        <s v="Heart and Vascular Consultants"/>
        <s v="Thunderbird Vein"/>
        <s v="Surgical Consultants of Central Florida"/>
        <s v="Cholankeril Medical Associates"/>
        <s v="Dr. Janet H Lee, DO"/>
        <s v="Heart Artery &amp; Vein Center"/>
        <s v="Center for Advance Vein Care"/>
        <s v="Vein Envy"/>
        <s v="Advanced Vein Center"/>
        <s v="Dayton Outpatient Center"/>
        <s v="Florida Vein Care Specialists"/>
        <s v="Illinois Surgical Specialist"/>
        <s v="Central Arkansas Vein Clinic"/>
        <s v="Oceana Vein Specialists"/>
        <s v="Apex Management Service Organization LLC"/>
        <s v="Palomar Health FKA-San Diego Vascular"/>
        <s v="Dayton Springfield Heart and Vascular"/>
        <s v="Vanish, LLC"/>
        <s v="Connecticut Vascular Center"/>
        <s v="Graff Foot, Ankle, Wound Care"/>
        <s v="Coastal Vascular LLC"/>
        <s v="Phoenix Heart and Vascular"/>
        <s v="Vitality Vein Care"/>
        <s v="Coastal Vascular Center"/>
        <s v="The Vein Clinic of Dallas"/>
        <s v="Elite Vein Clinic"/>
        <s v="Oxford Surgery Center"/>
        <s v="Cardiothoracic Vascular Surgical Associates"/>
        <s v="Conway Cardiovascular Surgery Center"/>
        <s v="Bergen Surgical Specialists"/>
        <s v="Valley Surgical, Aesthetics &amp; Vein Care"/>
        <s v="Graham Health System"/>
        <s v="Vanishing Veins &amp; Vivesse Med Spa"/>
        <s v="Al-Zoubaidi Vein &amp; Vascular Center of Southern Illinois"/>
        <s v="Precision Surgical Inc"/>
        <s v="Alliance Intervention"/>
        <s v="West Coast Medicine &amp; Cardiology"/>
        <s v="Laser Spine Center of Chicago"/>
        <s v="Vein Treatment Centers of New Jersey"/>
        <s v="Pinnacle Vascular Institute"/>
        <s v="Reincke Vein Center"/>
        <s v="Dominion Cardiology"/>
        <s v="Vascular &amp; Thoracic Associates of Los Angeles"/>
        <s v="Cardiology and Vascular Associates"/>
        <s v="Adventist Health System West"/>
        <s v="Dr. Nabil Abudayeh"/>
        <s v="Radiology Imaging Associates"/>
        <s v="Somerset Surgical Associates"/>
        <s v="La Jolla Vein Care"/>
        <s v="Medilaser"/>
        <s v="Vascular Center of Southern Indiana Surgery"/>
        <s v="Aiken Vascular Specialists PC"/>
        <s v="Vital Heart &amp; Vein"/>
        <s v="Synergy Supply Solutions"/>
        <s v="Grand Strand Surgical"/>
        <s v="Vascular Institute of the Pines"/>
        <s v="Vida Vascular"/>
        <s v="Vein &amp; Wound Experts"/>
        <s v="Dr. James Geuder FKA Vein Center of Oradell"/>
        <s v="Family Health West"/>
        <s v="Ghalili Vein and Vascular Institute"/>
        <s v="LA Vascular and Endovascular Surgery"/>
        <s v="Cochise Heart and Vascular Center"/>
        <s v="Advanced Vascular"/>
        <s v="Cardiovascular Institute of Michigan P.C."/>
        <s v="Advanced Cardiology of South Jersey"/>
        <s v="Center for Varicose Veins"/>
        <s v="Twin Hearts, LLC"/>
        <s v="GSC-Gilbert"/>
        <s v="Cardiovascular Specialist Ohio"/>
        <s v="Zeni Interventional, PLLC"/>
        <s v="NG Vascular &amp; Vein Center"/>
        <s v="Kern Vascular Center"/>
        <s v="Central Coast Vascular/Pacific Cardiovascular/West Coast Surgical Center"/>
        <s v="Coastal Vein Care"/>
        <s v="iThriveVeins"/>
        <s v="Cardiovascular Clinic of West Tennessee"/>
        <s v="Advanced Surgical Care Reno"/>
        <s v="Dakota Vascular"/>
        <s v="Upland Surgical Associates"/>
        <s v="Cardio Metabolic Institute"/>
        <s v="Colorado Skin &amp; Vein"/>
        <s v="Sanova Dermatology"/>
        <s v="Vein-ity Vein Care Centers of Kansas"/>
        <s v="Women's Health Institute"/>
        <s v="Elite Veins NY"/>
      </sharedItems>
    </cacheField>
    <cacheField name="Due Date" numFmtId="0">
      <sharedItems/>
    </cacheField>
    <cacheField name="Amount" numFmtId="4">
      <sharedItems containsSemiMixedTypes="0" containsString="0" containsNumber="1" minValue="362.18" maxValue="46218"/>
    </cacheField>
    <cacheField name="Open Balance" numFmtId="4">
      <sharedItems containsSemiMixedTypes="0" containsString="0" containsNumber="1" minValue="1.2" maxValue="462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x v="0"/>
    <s v="09/10/2021"/>
    <s v="Invoice"/>
    <n v="1956"/>
    <x v="0"/>
    <s v="10/10/2021"/>
    <n v="2068.4"/>
    <n v="2068.4"/>
    <x v="0"/>
  </r>
  <r>
    <x v="0"/>
    <s v="12/31/2022"/>
    <s v="Journal Entry"/>
    <s v="YE ADJ"/>
    <x v="1"/>
    <s v="12/31/2022"/>
    <n v="-36.590000000000003"/>
    <n v="-36.590000000000003"/>
    <x v="1"/>
  </r>
  <r>
    <x v="0"/>
    <s v="01/01/2023"/>
    <s v="Journal Entry"/>
    <s v="Reverse Adj"/>
    <x v="1"/>
    <s v="01/01/2023"/>
    <n v="36.590000000000003"/>
    <n v="36.590000000000003"/>
    <x v="0"/>
  </r>
  <r>
    <x v="0"/>
    <s v="04/05/2023"/>
    <s v="Invoice"/>
    <n v="10723"/>
    <x v="2"/>
    <s v="05/05/2023"/>
    <n v="5042.5"/>
    <n v="1700"/>
    <x v="0"/>
  </r>
  <r>
    <x v="0"/>
    <s v="06/16/2023"/>
    <s v="Invoice"/>
    <n v="10903"/>
    <x v="3"/>
    <s v="07/16/2023"/>
    <n v="1862"/>
    <n v="931"/>
    <x v="0"/>
  </r>
  <r>
    <x v="0"/>
    <s v="07/25/2023"/>
    <s v="Invoice"/>
    <n v="11006"/>
    <x v="4"/>
    <s v="08/24/2023"/>
    <n v="1271"/>
    <n v="1271"/>
    <x v="0"/>
  </r>
  <r>
    <x v="0"/>
    <s v="10/19/2023"/>
    <s v="Invoice"/>
    <n v="11226"/>
    <x v="5"/>
    <s v="11/18/2023"/>
    <n v="1324.38"/>
    <n v="1324.38"/>
    <x v="0"/>
  </r>
  <r>
    <x v="0"/>
    <s v="08/07/2024"/>
    <s v="Invoice"/>
    <n v="11804"/>
    <x v="6"/>
    <s v="09/06/2024"/>
    <n v="2383.79"/>
    <n v="2383.79"/>
    <x v="0"/>
  </r>
  <r>
    <x v="0"/>
    <s v="09/09/2024"/>
    <s v="Invoice"/>
    <n v="11910"/>
    <x v="7"/>
    <s v="10/09/2024"/>
    <n v="4170.25"/>
    <n v="4170.25"/>
    <x v="0"/>
  </r>
  <r>
    <x v="1"/>
    <s v="10/09/2024"/>
    <s v="Invoice"/>
    <n v="12043"/>
    <x v="8"/>
    <s v="11/08/2024"/>
    <n v="5427.75"/>
    <n v="5427.75"/>
    <x v="0"/>
  </r>
  <r>
    <x v="1"/>
    <s v="10/08/2024"/>
    <s v="Invoice"/>
    <n v="12038"/>
    <x v="9"/>
    <s v="11/07/2024"/>
    <n v="762.08"/>
    <n v="762.08"/>
    <x v="0"/>
  </r>
  <r>
    <x v="1"/>
    <s v="10/09/2024"/>
    <s v="Invoice"/>
    <n v="12043"/>
    <x v="8"/>
    <s v="11/08/2024"/>
    <n v="5427.75"/>
    <n v="5427.75"/>
    <x v="0"/>
  </r>
  <r>
    <x v="1"/>
    <s v="10/21/2024"/>
    <s v="Invoice"/>
    <n v="12088"/>
    <x v="10"/>
    <s v="11/20/2024"/>
    <n v="269"/>
    <n v="269"/>
    <x v="2"/>
  </r>
  <r>
    <x v="1"/>
    <s v="10/21/2024"/>
    <s v="Invoice"/>
    <n v="12090"/>
    <x v="11"/>
    <s v="11/20/2024"/>
    <n v="7249.6"/>
    <n v="7249.6"/>
    <x v="0"/>
  </r>
  <r>
    <x v="1"/>
    <s v="10/23/2024"/>
    <s v="Invoice"/>
    <n v="12107"/>
    <x v="12"/>
    <s v="11/22/2024"/>
    <n v="8543.25"/>
    <n v="8543.25"/>
    <x v="0"/>
  </r>
  <r>
    <x v="2"/>
    <s v="08/30/2024"/>
    <s v="Invoice"/>
    <n v="11865"/>
    <x v="13"/>
    <s v="11/28/2024"/>
    <n v="2767.12"/>
    <n v="2767.12"/>
    <x v="0"/>
  </r>
  <r>
    <x v="2"/>
    <s v="10/29/2024"/>
    <s v="Invoice"/>
    <n v="12139"/>
    <x v="14"/>
    <s v="11/28/2024"/>
    <n v="1425.75"/>
    <n v="1425.75"/>
    <x v="2"/>
  </r>
  <r>
    <x v="2"/>
    <s v="11/05/2024"/>
    <s v="Invoice"/>
    <n v="12184"/>
    <x v="8"/>
    <s v="12/05/2024"/>
    <n v="618.88"/>
    <n v="618.88"/>
    <x v="0"/>
  </r>
  <r>
    <x v="2"/>
    <s v="11/07/2024"/>
    <s v="Invoice"/>
    <n v="12198"/>
    <x v="15"/>
    <s v="12/07/2024"/>
    <n v="11314.82"/>
    <n v="11314.82"/>
    <x v="0"/>
  </r>
  <r>
    <x v="2"/>
    <s v="11/12/2024"/>
    <s v="Invoice"/>
    <n v="12224"/>
    <x v="10"/>
    <s v="12/12/2024"/>
    <n v="1345"/>
    <n v="1277.75"/>
    <x v="2"/>
  </r>
  <r>
    <x v="2"/>
    <s v="11/13/2024"/>
    <s v="Invoice"/>
    <n v="12257"/>
    <x v="16"/>
    <s v="12/13/2024"/>
    <n v="2473"/>
    <n v="2473"/>
    <x v="0"/>
  </r>
  <r>
    <x v="2"/>
    <s v="11/14/2024"/>
    <s v="Invoice"/>
    <n v="12239"/>
    <x v="17"/>
    <s v="12/14/2024"/>
    <n v="500"/>
    <n v="500"/>
    <x v="0"/>
  </r>
  <r>
    <x v="2"/>
    <s v="11/14/2024"/>
    <s v="Invoice"/>
    <n v="12258"/>
    <x v="18"/>
    <s v="12/14/2024"/>
    <n v="771.92"/>
    <n v="771.92"/>
    <x v="0"/>
  </r>
  <r>
    <x v="2"/>
    <s v="11/15/2024"/>
    <s v="Invoice"/>
    <n v="12244"/>
    <x v="18"/>
    <s v="12/15/2024"/>
    <n v="1611.5"/>
    <n v="1611.5"/>
    <x v="0"/>
  </r>
  <r>
    <x v="2"/>
    <s v="12/17/2024"/>
    <s v="Payment"/>
    <s v="Check 4702"/>
    <x v="19"/>
    <s v="12/17/2024"/>
    <n v="-1850.54"/>
    <n v="-1850.54"/>
    <x v="1"/>
  </r>
  <r>
    <x v="2"/>
    <s v="11/19/2024"/>
    <s v="Invoice"/>
    <n v="12261"/>
    <x v="20"/>
    <s v="12/19/2024"/>
    <n v="2646"/>
    <n v="2646"/>
    <x v="0"/>
  </r>
  <r>
    <x v="2"/>
    <s v="11/19/2024"/>
    <s v="Invoice"/>
    <n v="12260"/>
    <x v="21"/>
    <s v="12/19/2024"/>
    <n v="9452.25"/>
    <n v="9452.25"/>
    <x v="0"/>
  </r>
  <r>
    <x v="2"/>
    <s v="11/20/2024"/>
    <s v="Invoice"/>
    <n v="12274"/>
    <x v="16"/>
    <s v="12/20/2024"/>
    <n v="448"/>
    <n v="448"/>
    <x v="0"/>
  </r>
  <r>
    <x v="3"/>
    <s v="11/29/2024"/>
    <s v="Invoice"/>
    <n v="12346"/>
    <x v="22"/>
    <s v="12/29/2024"/>
    <n v="1998.88"/>
    <n v="1998.88"/>
    <x v="0"/>
  </r>
  <r>
    <x v="3"/>
    <s v="10/31/2024"/>
    <s v="Invoice"/>
    <n v="12154"/>
    <x v="23"/>
    <s v="12/30/2024"/>
    <n v="5503"/>
    <n v="5503"/>
    <x v="0"/>
  </r>
  <r>
    <x v="3"/>
    <s v="12/03/2024"/>
    <s v="Invoice"/>
    <n v="12353"/>
    <x v="10"/>
    <s v="01/02/2025"/>
    <n v="2170.88"/>
    <n v="18.88"/>
    <x v="2"/>
  </r>
  <r>
    <x v="3"/>
    <s v="12/06/2024"/>
    <s v="Invoice"/>
    <n v="12403"/>
    <x v="18"/>
    <s v="01/05/2025"/>
    <n v="836.71"/>
    <n v="836.71"/>
    <x v="0"/>
  </r>
  <r>
    <x v="3"/>
    <s v="01/07/2025"/>
    <s v="Payment"/>
    <m/>
    <x v="24"/>
    <s v="01/07/2025"/>
    <n v="-2681.98"/>
    <n v="-81.98"/>
    <x v="1"/>
  </r>
  <r>
    <x v="3"/>
    <s v="12/09/2024"/>
    <s v="Invoice"/>
    <n v="12416"/>
    <x v="15"/>
    <s v="01/08/2025"/>
    <n v="8415.9"/>
    <n v="8415.9"/>
    <x v="0"/>
  </r>
  <r>
    <x v="3"/>
    <s v="12/09/2024"/>
    <s v="Invoice"/>
    <n v="12404"/>
    <x v="25"/>
    <s v="01/08/2025"/>
    <n v="9435.75"/>
    <n v="9435.75"/>
    <x v="0"/>
  </r>
  <r>
    <x v="3"/>
    <s v="12/10/2024"/>
    <s v="Invoice"/>
    <n v="12411"/>
    <x v="10"/>
    <s v="01/09/2025"/>
    <n v="269"/>
    <n v="269"/>
    <x v="2"/>
  </r>
  <r>
    <x v="3"/>
    <s v="12/10/2024"/>
    <s v="Invoice"/>
    <n v="12412"/>
    <x v="10"/>
    <s v="01/09/2025"/>
    <n v="269"/>
    <n v="269"/>
    <x v="2"/>
  </r>
  <r>
    <x v="3"/>
    <s v="12/10/2024"/>
    <s v="Invoice"/>
    <n v="12413"/>
    <x v="10"/>
    <s v="01/09/2025"/>
    <n v="269"/>
    <n v="269"/>
    <x v="2"/>
  </r>
  <r>
    <x v="3"/>
    <s v="12/10/2024"/>
    <s v="Invoice"/>
    <n v="12414"/>
    <x v="10"/>
    <s v="01/09/2025"/>
    <n v="269"/>
    <n v="269"/>
    <x v="2"/>
  </r>
  <r>
    <x v="3"/>
    <s v="12/10/2024"/>
    <s v="Invoice"/>
    <n v="12408"/>
    <x v="20"/>
    <s v="01/09/2025"/>
    <n v="1273"/>
    <n v="1273"/>
    <x v="0"/>
  </r>
  <r>
    <x v="3"/>
    <s v="12/10/2024"/>
    <s v="Invoice"/>
    <n v="12418"/>
    <x v="26"/>
    <s v="01/09/2025"/>
    <n v="4406.01"/>
    <n v="4406.01"/>
    <x v="0"/>
  </r>
  <r>
    <x v="3"/>
    <s v="12/11/2024"/>
    <s v="Invoice"/>
    <n v="12423"/>
    <x v="1"/>
    <s v="01/10/2025"/>
    <n v="573.33000000000004"/>
    <n v="573.33000000000004"/>
    <x v="0"/>
  </r>
  <r>
    <x v="3"/>
    <s v="12/12/2024"/>
    <s v="Invoice"/>
    <n v="12430"/>
    <x v="18"/>
    <s v="01/11/2025"/>
    <n v="545.75"/>
    <n v="545.75"/>
    <x v="0"/>
  </r>
  <r>
    <x v="3"/>
    <s v="12/12/2024"/>
    <s v="Invoice"/>
    <n v="12429"/>
    <x v="27"/>
    <s v="01/11/2025"/>
    <n v="3870.25"/>
    <n v="3870.25"/>
    <x v="0"/>
  </r>
  <r>
    <x v="3"/>
    <s v="12/13/2024"/>
    <s v="Invoice"/>
    <n v="12442"/>
    <x v="28"/>
    <s v="01/12/2025"/>
    <n v="2950.5"/>
    <n v="2950.5"/>
    <x v="0"/>
  </r>
  <r>
    <x v="3"/>
    <s v="12/13/2024"/>
    <s v="Invoice"/>
    <n v="12483"/>
    <x v="11"/>
    <s v="01/12/2025"/>
    <n v="6959.45"/>
    <n v="6959.45"/>
    <x v="0"/>
  </r>
  <r>
    <x v="3"/>
    <s v="12/16/2024"/>
    <s v="Invoice"/>
    <n v="12480"/>
    <x v="29"/>
    <s v="01/15/2025"/>
    <n v="383.44"/>
    <n v="383.44"/>
    <x v="0"/>
  </r>
  <r>
    <x v="3"/>
    <s v="12/16/2024"/>
    <s v="Invoice"/>
    <n v="12459"/>
    <x v="17"/>
    <s v="01/15/2025"/>
    <n v="500"/>
    <n v="500"/>
    <x v="0"/>
  </r>
  <r>
    <x v="3"/>
    <s v="12/16/2024"/>
    <s v="Invoice"/>
    <n v="12461"/>
    <x v="30"/>
    <s v="01/15/2025"/>
    <n v="1950.75"/>
    <n v="1950.75"/>
    <x v="0"/>
  </r>
  <r>
    <x v="3"/>
    <s v="12/17/2024"/>
    <s v="Invoice"/>
    <n v="12485"/>
    <x v="17"/>
    <s v="01/16/2025"/>
    <n v="1094.6099999999999"/>
    <n v="1094.6099999999999"/>
    <x v="0"/>
  </r>
  <r>
    <x v="3"/>
    <s v="12/17/2024"/>
    <s v="Invoice"/>
    <n v="12469"/>
    <x v="31"/>
    <s v="01/16/2025"/>
    <n v="1313"/>
    <n v="1313"/>
    <x v="0"/>
  </r>
  <r>
    <x v="3"/>
    <s v="12/17/2024"/>
    <s v="Invoice"/>
    <n v="12470"/>
    <x v="31"/>
    <s v="01/16/2025"/>
    <n v="2626"/>
    <n v="2626"/>
    <x v="0"/>
  </r>
  <r>
    <x v="3"/>
    <s v="12/17/2024"/>
    <s v="Invoice"/>
    <n v="12466"/>
    <x v="32"/>
    <s v="01/16/2025"/>
    <n v="3870.25"/>
    <n v="3870.25"/>
    <x v="0"/>
  </r>
  <r>
    <x v="3"/>
    <s v="12/19/2024"/>
    <s v="Invoice"/>
    <n v="12499"/>
    <x v="33"/>
    <s v="01/18/2025"/>
    <n v="1466.88"/>
    <n v="1466.88"/>
    <x v="0"/>
  </r>
  <r>
    <x v="3"/>
    <s v="12/20/2024"/>
    <s v="Invoice"/>
    <n v="12491"/>
    <x v="34"/>
    <s v="01/19/2025"/>
    <n v="7737.75"/>
    <n v="7737.75"/>
    <x v="0"/>
  </r>
  <r>
    <x v="3"/>
    <s v="12/23/2024"/>
    <s v="Invoice"/>
    <n v="12495"/>
    <x v="10"/>
    <s v="01/22/2025"/>
    <n v="269"/>
    <n v="269"/>
    <x v="2"/>
  </r>
  <r>
    <x v="3"/>
    <s v="12/23/2024"/>
    <s v="Invoice"/>
    <n v="12497"/>
    <x v="10"/>
    <s v="01/22/2025"/>
    <n v="269"/>
    <n v="269"/>
    <x v="2"/>
  </r>
  <r>
    <x v="3"/>
    <s v="12/23/2024"/>
    <s v="Invoice"/>
    <n v="12496"/>
    <x v="10"/>
    <s v="01/22/2025"/>
    <n v="1614"/>
    <n v="1614"/>
    <x v="2"/>
  </r>
  <r>
    <x v="4"/>
    <s v="12/27/2024"/>
    <s v="Invoice"/>
    <n v="12505"/>
    <x v="10"/>
    <s v="01/26/2025"/>
    <n v="1076"/>
    <n v="1076"/>
    <x v="2"/>
  </r>
  <r>
    <x v="4"/>
    <s v="12/27/2024"/>
    <s v="Invoice"/>
    <n v="12511"/>
    <x v="35"/>
    <s v="01/26/2025"/>
    <n v="1174.1600000000001"/>
    <n v="1174.1600000000001"/>
    <x v="3"/>
  </r>
  <r>
    <x v="4"/>
    <s v="12/30/2024"/>
    <s v="Invoice"/>
    <n v="12509"/>
    <x v="10"/>
    <s v="01/29/2025"/>
    <n v="269"/>
    <n v="269"/>
    <x v="2"/>
  </r>
  <r>
    <x v="4"/>
    <s v="12/30/2024"/>
    <s v="Invoice"/>
    <n v="12510"/>
    <x v="10"/>
    <s v="01/29/2025"/>
    <n v="807"/>
    <n v="807"/>
    <x v="2"/>
  </r>
  <r>
    <x v="4"/>
    <s v="12/31/2024"/>
    <s v="Invoice"/>
    <n v="12508"/>
    <x v="10"/>
    <s v="01/30/2025"/>
    <n v="2690"/>
    <n v="2690"/>
    <x v="2"/>
  </r>
  <r>
    <x v="4"/>
    <s v="01/03/2025"/>
    <s v="Invoice"/>
    <n v="12515"/>
    <x v="10"/>
    <s v="02/02/2025"/>
    <n v="269"/>
    <n v="269"/>
    <x v="2"/>
  </r>
  <r>
    <x v="4"/>
    <s v="01/03/2025"/>
    <s v="Invoice"/>
    <n v="12516"/>
    <x v="10"/>
    <s v="02/02/2025"/>
    <n v="807"/>
    <n v="807"/>
    <x v="2"/>
  </r>
  <r>
    <x v="4"/>
    <s v="01/03/2025"/>
    <s v="Invoice"/>
    <n v="12513"/>
    <x v="10"/>
    <s v="02/02/2025"/>
    <n v="1076"/>
    <n v="1076"/>
    <x v="2"/>
  </r>
  <r>
    <x v="4"/>
    <s v="01/03/2025"/>
    <s v="Invoice"/>
    <n v="12514"/>
    <x v="10"/>
    <s v="02/02/2025"/>
    <n v="2152"/>
    <n v="2152"/>
    <x v="2"/>
  </r>
  <r>
    <x v="4"/>
    <s v="01/04/2025"/>
    <s v="Invoice"/>
    <n v="12564"/>
    <x v="36"/>
    <s v="02/03/2025"/>
    <n v="311.76"/>
    <n v="311.76"/>
    <x v="3"/>
  </r>
  <r>
    <x v="4"/>
    <s v="01/04/2025"/>
    <s v="Invoice"/>
    <n v="12563"/>
    <x v="26"/>
    <s v="02/03/2025"/>
    <n v="823.42"/>
    <n v="823.42"/>
    <x v="3"/>
  </r>
  <r>
    <x v="4"/>
    <s v="01/04/2025"/>
    <s v="Invoice"/>
    <n v="12562"/>
    <x v="37"/>
    <s v="02/03/2025"/>
    <n v="1030.01"/>
    <n v="1030.01"/>
    <x v="3"/>
  </r>
  <r>
    <x v="4"/>
    <s v="01/04/2025"/>
    <s v="Invoice"/>
    <n v="12565"/>
    <x v="38"/>
    <s v="02/03/2025"/>
    <n v="1535.28"/>
    <n v="1535.28"/>
    <x v="3"/>
  </r>
  <r>
    <x v="4"/>
    <s v="01/07/2025"/>
    <s v="Invoice"/>
    <n v="12537"/>
    <x v="10"/>
    <s v="02/06/2025"/>
    <n v="269"/>
    <n v="269"/>
    <x v="2"/>
  </r>
  <r>
    <x v="4"/>
    <s v="01/07/2025"/>
    <s v="Invoice"/>
    <n v="12540"/>
    <x v="10"/>
    <s v="02/06/2025"/>
    <n v="269"/>
    <n v="269"/>
    <x v="2"/>
  </r>
  <r>
    <x v="4"/>
    <s v="01/07/2025"/>
    <s v="Invoice"/>
    <n v="12543"/>
    <x v="10"/>
    <s v="02/06/2025"/>
    <n v="538"/>
    <n v="538"/>
    <x v="2"/>
  </r>
  <r>
    <x v="4"/>
    <s v="01/07/2025"/>
    <s v="Invoice"/>
    <n v="12539"/>
    <x v="10"/>
    <s v="02/06/2025"/>
    <n v="807"/>
    <n v="807"/>
    <x v="2"/>
  </r>
  <r>
    <x v="4"/>
    <s v="01/07/2025"/>
    <s v="Invoice"/>
    <n v="12541"/>
    <x v="10"/>
    <s v="02/06/2025"/>
    <n v="807"/>
    <n v="807"/>
    <x v="2"/>
  </r>
  <r>
    <x v="4"/>
    <s v="01/07/2025"/>
    <s v="Invoice"/>
    <n v="12531"/>
    <x v="39"/>
    <s v="02/06/2025"/>
    <n v="870.25"/>
    <n v="870.25"/>
    <x v="3"/>
  </r>
  <r>
    <x v="4"/>
    <s v="01/07/2025"/>
    <s v="Invoice"/>
    <n v="12526"/>
    <x v="40"/>
    <s v="02/06/2025"/>
    <n v="871.63"/>
    <n v="871.63"/>
    <x v="3"/>
  </r>
  <r>
    <x v="4"/>
    <s v="01/07/2025"/>
    <s v="Invoice"/>
    <n v="12520"/>
    <x v="30"/>
    <s v="02/06/2025"/>
    <n v="875.75"/>
    <n v="875.75"/>
    <x v="3"/>
  </r>
  <r>
    <x v="4"/>
    <s v="01/07/2025"/>
    <s v="Invoice"/>
    <n v="12538"/>
    <x v="10"/>
    <s v="02/06/2025"/>
    <n v="1345"/>
    <n v="1345"/>
    <x v="2"/>
  </r>
  <r>
    <x v="4"/>
    <s v="01/07/2025"/>
    <s v="Invoice"/>
    <n v="12517"/>
    <x v="41"/>
    <s v="02/06/2025"/>
    <n v="1720.25"/>
    <n v="1720.25"/>
    <x v="3"/>
  </r>
  <r>
    <x v="4"/>
    <s v="01/07/2025"/>
    <s v="Invoice"/>
    <n v="12533"/>
    <x v="42"/>
    <s v="02/06/2025"/>
    <n v="1773"/>
    <n v="1773"/>
    <x v="3"/>
  </r>
  <r>
    <x v="4"/>
    <s v="01/07/2025"/>
    <s v="Invoice"/>
    <n v="12542"/>
    <x v="10"/>
    <s v="02/06/2025"/>
    <n v="2152"/>
    <n v="2152"/>
    <x v="2"/>
  </r>
  <r>
    <x v="4"/>
    <s v="01/07/2025"/>
    <s v="Invoice"/>
    <n v="12532"/>
    <x v="26"/>
    <s v="02/06/2025"/>
    <n v="2248.75"/>
    <n v="2248.75"/>
    <x v="3"/>
  </r>
  <r>
    <x v="4"/>
    <s v="01/07/2025"/>
    <s v="Invoice"/>
    <n v="12534"/>
    <x v="43"/>
    <s v="02/06/2025"/>
    <n v="2351.5"/>
    <n v="2351.5"/>
    <x v="3"/>
  </r>
  <r>
    <x v="4"/>
    <s v="01/07/2025"/>
    <s v="Invoice"/>
    <n v="12529"/>
    <x v="35"/>
    <s v="02/06/2025"/>
    <n v="2540.5"/>
    <n v="2540.5"/>
    <x v="3"/>
  </r>
  <r>
    <x v="4"/>
    <s v="01/07/2025"/>
    <s v="Invoice"/>
    <n v="12544"/>
    <x v="10"/>
    <s v="02/06/2025"/>
    <n v="2690"/>
    <n v="2690"/>
    <x v="2"/>
  </r>
  <r>
    <x v="4"/>
    <s v="01/07/2025"/>
    <s v="Invoice"/>
    <n v="12545"/>
    <x v="10"/>
    <s v="02/06/2025"/>
    <n v="2959"/>
    <n v="2959"/>
    <x v="2"/>
  </r>
  <r>
    <x v="4"/>
    <s v="01/07/2025"/>
    <s v="Invoice"/>
    <n v="12561"/>
    <x v="44"/>
    <s v="02/06/2025"/>
    <n v="3095.01"/>
    <n v="3095.01"/>
    <x v="3"/>
  </r>
  <r>
    <x v="4"/>
    <s v="01/07/2025"/>
    <s v="Invoice"/>
    <n v="12518"/>
    <x v="45"/>
    <s v="02/06/2025"/>
    <n v="3871.63"/>
    <n v="3871.63"/>
    <x v="3"/>
  </r>
  <r>
    <x v="4"/>
    <s v="01/07/2025"/>
    <s v="Invoice"/>
    <n v="12524"/>
    <x v="46"/>
    <s v="02/06/2025"/>
    <n v="6412.75"/>
    <n v="6412.75"/>
    <x v="3"/>
  </r>
  <r>
    <x v="4"/>
    <s v="01/07/2025"/>
    <s v="Invoice"/>
    <n v="12527"/>
    <x v="27"/>
    <s v="02/06/2025"/>
    <n v="7740.5"/>
    <n v="7740.5"/>
    <x v="3"/>
  </r>
  <r>
    <x v="4"/>
    <s v="01/07/2025"/>
    <s v="Invoice"/>
    <n v="12522"/>
    <x v="45"/>
    <s v="02/06/2025"/>
    <n v="7743.25"/>
    <n v="7743.25"/>
    <x v="3"/>
  </r>
  <r>
    <x v="4"/>
    <s v="01/07/2025"/>
    <s v="Invoice"/>
    <n v="12535"/>
    <x v="47"/>
    <s v="02/06/2025"/>
    <n v="8551.5"/>
    <n v="8551.5"/>
    <x v="3"/>
  </r>
  <r>
    <x v="4"/>
    <s v="01/07/2025"/>
    <s v="Invoice"/>
    <n v="12519"/>
    <x v="48"/>
    <s v="02/06/2025"/>
    <n v="11420"/>
    <n v="11420"/>
    <x v="3"/>
  </r>
  <r>
    <x v="4"/>
    <s v="01/09/2025"/>
    <s v="Invoice"/>
    <n v="12547"/>
    <x v="10"/>
    <s v="02/08/2025"/>
    <n v="269"/>
    <n v="269"/>
    <x v="2"/>
  </r>
  <r>
    <x v="4"/>
    <s v="01/09/2025"/>
    <s v="Invoice"/>
    <n v="12548"/>
    <x v="10"/>
    <s v="02/08/2025"/>
    <n v="269"/>
    <n v="269"/>
    <x v="2"/>
  </r>
  <r>
    <x v="4"/>
    <s v="01/10/2025"/>
    <s v="Invoice"/>
    <n v="12549"/>
    <x v="10"/>
    <s v="02/09/2025"/>
    <n v="269"/>
    <n v="269"/>
    <x v="2"/>
  </r>
  <r>
    <x v="4"/>
    <s v="01/10/2025"/>
    <s v="Invoice"/>
    <n v="12566"/>
    <x v="49"/>
    <s v="02/09/2025"/>
    <n v="707.26"/>
    <n v="707.26"/>
    <x v="3"/>
  </r>
  <r>
    <x v="4"/>
    <s v="01/10/2025"/>
    <s v="Invoice"/>
    <n v="12567"/>
    <x v="50"/>
    <s v="02/09/2025"/>
    <n v="7116.4"/>
    <n v="7116.4"/>
    <x v="3"/>
  </r>
  <r>
    <x v="4"/>
    <s v="01/13/2025"/>
    <s v="Invoice"/>
    <n v="12552"/>
    <x v="10"/>
    <s v="02/12/2025"/>
    <n v="269"/>
    <n v="269"/>
    <x v="2"/>
  </r>
  <r>
    <x v="4"/>
    <s v="01/13/2025"/>
    <s v="Invoice"/>
    <n v="12553"/>
    <x v="10"/>
    <s v="02/12/2025"/>
    <n v="269"/>
    <n v="269"/>
    <x v="2"/>
  </r>
  <r>
    <x v="4"/>
    <s v="01/13/2025"/>
    <s v="Invoice"/>
    <n v="12555"/>
    <x v="10"/>
    <s v="02/12/2025"/>
    <n v="269"/>
    <n v="269"/>
    <x v="2"/>
  </r>
  <r>
    <x v="4"/>
    <s v="01/13/2025"/>
    <s v="Invoice"/>
    <n v="12556"/>
    <x v="10"/>
    <s v="02/12/2025"/>
    <n v="269"/>
    <n v="269"/>
    <x v="2"/>
  </r>
  <r>
    <x v="4"/>
    <s v="01/13/2025"/>
    <s v="Invoice"/>
    <n v="12559"/>
    <x v="10"/>
    <s v="02/12/2025"/>
    <n v="269"/>
    <n v="269"/>
    <x v="2"/>
  </r>
  <r>
    <x v="4"/>
    <s v="01/13/2025"/>
    <s v="Invoice"/>
    <n v="12560"/>
    <x v="10"/>
    <s v="02/12/2025"/>
    <n v="269"/>
    <n v="269"/>
    <x v="2"/>
  </r>
  <r>
    <x v="4"/>
    <s v="01/13/2025"/>
    <s v="Invoice"/>
    <n v="12557"/>
    <x v="10"/>
    <s v="02/12/2025"/>
    <n v="538"/>
    <n v="538"/>
    <x v="2"/>
  </r>
  <r>
    <x v="4"/>
    <s v="01/13/2025"/>
    <s v="Invoice"/>
    <n v="12558"/>
    <x v="10"/>
    <s v="02/12/2025"/>
    <n v="807"/>
    <n v="807"/>
    <x v="2"/>
  </r>
  <r>
    <x v="4"/>
    <s v="01/13/2025"/>
    <s v="Invoice"/>
    <n v="12551"/>
    <x v="10"/>
    <s v="02/12/2025"/>
    <n v="1345"/>
    <n v="1345"/>
    <x v="2"/>
  </r>
  <r>
    <x v="4"/>
    <s v="01/13/2025"/>
    <s v="Invoice"/>
    <n v="12554"/>
    <x v="10"/>
    <s v="02/12/2025"/>
    <n v="1345"/>
    <n v="1345"/>
    <x v="2"/>
  </r>
  <r>
    <x v="4"/>
    <s v="01/13/2025"/>
    <s v="Invoice"/>
    <n v="12575"/>
    <x v="51"/>
    <s v="02/12/2025"/>
    <n v="7505.4"/>
    <n v="7505.4"/>
    <x v="3"/>
  </r>
  <r>
    <x v="4"/>
    <s v="01/14/2025"/>
    <s v="Invoice"/>
    <n v="12569"/>
    <x v="10"/>
    <s v="02/13/2025"/>
    <n v="269"/>
    <n v="269"/>
    <x v="2"/>
  </r>
  <r>
    <x v="4"/>
    <s v="01/14/2025"/>
    <s v="Invoice"/>
    <n v="12572"/>
    <x v="10"/>
    <s v="02/13/2025"/>
    <n v="269"/>
    <n v="269"/>
    <x v="2"/>
  </r>
  <r>
    <x v="4"/>
    <s v="01/14/2025"/>
    <s v="Invoice"/>
    <n v="12574"/>
    <x v="17"/>
    <s v="02/13/2025"/>
    <n v="500"/>
    <n v="500"/>
    <x v="3"/>
  </r>
  <r>
    <x v="4"/>
    <s v="01/14/2025"/>
    <s v="Invoice"/>
    <n v="12570"/>
    <x v="10"/>
    <s v="02/13/2025"/>
    <n v="1345"/>
    <n v="1345"/>
    <x v="2"/>
  </r>
  <r>
    <x v="4"/>
    <s v="01/14/2025"/>
    <s v="Invoice"/>
    <n v="12571"/>
    <x v="10"/>
    <s v="02/13/2025"/>
    <n v="2690"/>
    <n v="2690"/>
    <x v="2"/>
  </r>
  <r>
    <x v="4"/>
    <s v="01/14/2025"/>
    <s v="Invoice"/>
    <n v="12573"/>
    <x v="32"/>
    <s v="02/13/2025"/>
    <n v="7740.5"/>
    <n v="7740.5"/>
    <x v="3"/>
  </r>
  <r>
    <x v="4"/>
    <s v="01/15/2025"/>
    <s v="Invoice"/>
    <n v="12577"/>
    <x v="10"/>
    <s v="02/14/2025"/>
    <n v="807"/>
    <n v="807"/>
    <x v="2"/>
  </r>
  <r>
    <x v="4"/>
    <s v="01/15/2025"/>
    <s v="Invoice"/>
    <n v="12578"/>
    <x v="52"/>
    <s v="02/14/2025"/>
    <n v="8546"/>
    <n v="8546"/>
    <x v="3"/>
  </r>
  <r>
    <x v="4"/>
    <s v="12/17/2024"/>
    <s v="Invoice"/>
    <n v="12468"/>
    <x v="23"/>
    <s v="02/15/2025"/>
    <n v="5303"/>
    <n v="5303"/>
    <x v="3"/>
  </r>
  <r>
    <x v="4"/>
    <s v="12/17/2024"/>
    <s v="Invoice"/>
    <n v="12464"/>
    <x v="53"/>
    <s v="02/15/2025"/>
    <n v="11857.63"/>
    <n v="11857.63"/>
    <x v="3"/>
  </r>
  <r>
    <x v="4"/>
    <s v="01/16/2025"/>
    <s v="Invoice"/>
    <n v="12581"/>
    <x v="10"/>
    <s v="02/15/2025"/>
    <n v="269"/>
    <n v="269"/>
    <x v="2"/>
  </r>
  <r>
    <x v="4"/>
    <s v="01/16/2025"/>
    <s v="Invoice"/>
    <n v="12582"/>
    <x v="10"/>
    <s v="02/15/2025"/>
    <n v="269"/>
    <n v="269"/>
    <x v="2"/>
  </r>
  <r>
    <x v="4"/>
    <s v="01/16/2025"/>
    <s v="Invoice"/>
    <n v="12580"/>
    <x v="10"/>
    <s v="02/15/2025"/>
    <n v="538"/>
    <n v="538"/>
    <x v="2"/>
  </r>
  <r>
    <x v="4"/>
    <s v="01/16/2025"/>
    <s v="Invoice"/>
    <n v="12587"/>
    <x v="49"/>
    <s v="02/15/2025"/>
    <n v="1321.63"/>
    <n v="1321.63"/>
    <x v="3"/>
  </r>
  <r>
    <x v="4"/>
    <s v="01/16/2025"/>
    <s v="Invoice"/>
    <n v="12591"/>
    <x v="29"/>
    <s v="02/15/2025"/>
    <n v="1615.13"/>
    <n v="1615.13"/>
    <x v="3"/>
  </r>
  <r>
    <x v="4"/>
    <s v="01/16/2025"/>
    <s v="Invoice"/>
    <n v="12583"/>
    <x v="10"/>
    <s v="02/15/2025"/>
    <n v="2152"/>
    <n v="2152"/>
    <x v="2"/>
  </r>
  <r>
    <x v="4"/>
    <s v="01/16/2025"/>
    <s v="Invoice"/>
    <n v="12585"/>
    <x v="26"/>
    <s v="02/15/2025"/>
    <n v="2248.75"/>
    <n v="2248.75"/>
    <x v="3"/>
  </r>
  <r>
    <x v="4"/>
    <s v="01/16/2025"/>
    <s v="Invoice"/>
    <n v="12590"/>
    <x v="54"/>
    <s v="02/15/2025"/>
    <n v="4086.5"/>
    <n v="4086.5"/>
    <x v="3"/>
  </r>
  <r>
    <x v="4"/>
    <s v="01/16/2025"/>
    <s v="Invoice"/>
    <n v="12589"/>
    <x v="50"/>
    <s v="02/15/2025"/>
    <n v="4675.5"/>
    <n v="4675.5"/>
    <x v="3"/>
  </r>
  <r>
    <x v="4"/>
    <s v="01/16/2025"/>
    <s v="Invoice"/>
    <n v="12584"/>
    <x v="38"/>
    <s v="02/15/2025"/>
    <n v="6344.38"/>
    <n v="6344.38"/>
    <x v="3"/>
  </r>
  <r>
    <x v="4"/>
    <s v="01/16/2025"/>
    <s v="Invoice"/>
    <n v="12588"/>
    <x v="50"/>
    <s v="02/15/2025"/>
    <n v="6908.25"/>
    <n v="6908.25"/>
    <x v="3"/>
  </r>
  <r>
    <x v="4"/>
    <s v="01/17/2025"/>
    <s v="Invoice"/>
    <n v="12622"/>
    <x v="55"/>
    <s v="02/16/2025"/>
    <n v="1882.98"/>
    <n v="1882.98"/>
    <x v="3"/>
  </r>
  <r>
    <x v="4"/>
    <s v="01/17/2025"/>
    <s v="Invoice"/>
    <n v="12621"/>
    <x v="56"/>
    <s v="02/16/2025"/>
    <n v="3636.31"/>
    <n v="3636.31"/>
    <x v="3"/>
  </r>
  <r>
    <x v="4"/>
    <s v="01/17/2025"/>
    <s v="Invoice"/>
    <n v="12623"/>
    <x v="48"/>
    <s v="02/16/2025"/>
    <n v="5234.2"/>
    <n v="5234.2"/>
    <x v="3"/>
  </r>
  <r>
    <x v="4"/>
    <s v="01/17/2025"/>
    <s v="Invoice"/>
    <n v="12595"/>
    <x v="57"/>
    <s v="02/16/2025"/>
    <n v="7740.5"/>
    <n v="7740.5"/>
    <x v="3"/>
  </r>
  <r>
    <x v="4"/>
    <s v="01/17/2025"/>
    <s v="Invoice"/>
    <n v="12593"/>
    <x v="58"/>
    <s v="02/16/2025"/>
    <n v="10162"/>
    <n v="8141.75"/>
    <x v="3"/>
  </r>
  <r>
    <x v="4"/>
    <s v="01/20/2025"/>
    <s v="Invoice"/>
    <n v="12599"/>
    <x v="10"/>
    <s v="02/19/2025"/>
    <n v="269"/>
    <n v="269"/>
    <x v="2"/>
  </r>
  <r>
    <x v="4"/>
    <s v="01/20/2025"/>
    <s v="Invoice"/>
    <n v="12597"/>
    <x v="10"/>
    <s v="02/19/2025"/>
    <n v="538"/>
    <n v="538"/>
    <x v="2"/>
  </r>
  <r>
    <x v="4"/>
    <s v="01/20/2025"/>
    <s v="Invoice"/>
    <n v="12598"/>
    <x v="10"/>
    <s v="02/19/2025"/>
    <n v="538"/>
    <n v="538"/>
    <x v="2"/>
  </r>
  <r>
    <x v="4"/>
    <s v="01/20/2025"/>
    <s v="Invoice"/>
    <n v="12596"/>
    <x v="10"/>
    <s v="02/19/2025"/>
    <n v="807"/>
    <n v="807"/>
    <x v="2"/>
  </r>
  <r>
    <x v="4"/>
    <s v="01/20/2025"/>
    <s v="Invoice"/>
    <n v="12605"/>
    <x v="43"/>
    <s v="02/19/2025"/>
    <n v="1175.75"/>
    <n v="1175.75"/>
    <x v="3"/>
  </r>
  <r>
    <x v="4"/>
    <s v="01/20/2025"/>
    <s v="Invoice"/>
    <n v="12603"/>
    <x v="59"/>
    <s v="02/19/2025"/>
    <n v="1260.75"/>
    <n v="1260.75"/>
    <x v="3"/>
  </r>
  <r>
    <x v="4"/>
    <s v="01/20/2025"/>
    <s v="Invoice"/>
    <n v="12616"/>
    <x v="60"/>
    <s v="02/19/2025"/>
    <n v="1270.82"/>
    <n v="1270.82"/>
    <x v="3"/>
  </r>
  <r>
    <x v="4"/>
    <s v="01/20/2025"/>
    <s v="Invoice"/>
    <n v="12604"/>
    <x v="59"/>
    <s v="02/19/2025"/>
    <n v="1565.75"/>
    <n v="1565.75"/>
    <x v="3"/>
  </r>
  <r>
    <x v="4"/>
    <s v="01/20/2025"/>
    <s v="Invoice"/>
    <n v="12615"/>
    <x v="24"/>
    <s v="02/19/2025"/>
    <n v="2327.39"/>
    <n v="2327.39"/>
    <x v="3"/>
  </r>
  <r>
    <x v="4"/>
    <s v="01/20/2025"/>
    <s v="Invoice"/>
    <n v="12600"/>
    <x v="46"/>
    <s v="02/19/2025"/>
    <n v="3868.88"/>
    <n v="3868.88"/>
    <x v="3"/>
  </r>
  <r>
    <x v="4"/>
    <s v="01/20/2025"/>
    <s v="Invoice"/>
    <n v="12601"/>
    <x v="61"/>
    <s v="02/19/2025"/>
    <n v="7790.5"/>
    <n v="7790.5"/>
    <x v="3"/>
  </r>
  <r>
    <x v="4"/>
    <s v="01/21/2025"/>
    <s v="Invoice"/>
    <n v="12617"/>
    <x v="37"/>
    <s v="02/20/2025"/>
    <n v="1030.74"/>
    <n v="1030.74"/>
    <x v="3"/>
  </r>
  <r>
    <x v="4"/>
    <s v="01/21/2025"/>
    <s v="Invoice"/>
    <n v="12620"/>
    <x v="62"/>
    <s v="02/20/2025"/>
    <n v="4356.42"/>
    <n v="4356.42"/>
    <x v="3"/>
  </r>
  <r>
    <x v="4"/>
    <s v="01/22/2025"/>
    <s v="Invoice"/>
    <n v="12609"/>
    <x v="10"/>
    <s v="02/21/2025"/>
    <n v="269"/>
    <n v="269"/>
    <x v="2"/>
  </r>
  <r>
    <x v="4"/>
    <s v="01/22/2025"/>
    <s v="Invoice"/>
    <n v="12610"/>
    <x v="10"/>
    <s v="02/21/2025"/>
    <n v="269"/>
    <n v="269"/>
    <x v="2"/>
  </r>
  <r>
    <x v="4"/>
    <s v="01/22/2025"/>
    <s v="Invoice"/>
    <n v="12614"/>
    <x v="10"/>
    <s v="02/21/2025"/>
    <n v="269"/>
    <n v="269"/>
    <x v="2"/>
  </r>
  <r>
    <x v="4"/>
    <s v="01/22/2025"/>
    <s v="Invoice"/>
    <n v="12611"/>
    <x v="10"/>
    <s v="02/21/2025"/>
    <n v="807"/>
    <n v="807"/>
    <x v="2"/>
  </r>
  <r>
    <x v="4"/>
    <s v="01/22/2025"/>
    <s v="Invoice"/>
    <n v="12606"/>
    <x v="63"/>
    <s v="02/21/2025"/>
    <n v="1271.6300000000001"/>
    <n v="1271.6300000000001"/>
    <x v="3"/>
  </r>
  <r>
    <x v="4"/>
    <s v="01/22/2025"/>
    <s v="Invoice"/>
    <n v="12619"/>
    <x v="64"/>
    <s v="02/21/2025"/>
    <n v="1350"/>
    <n v="1350"/>
    <x v="3"/>
  </r>
  <r>
    <x v="4"/>
    <s v="01/22/2025"/>
    <s v="Invoice"/>
    <n v="12607"/>
    <x v="42"/>
    <s v="02/21/2025"/>
    <n v="1773"/>
    <n v="1773"/>
    <x v="3"/>
  </r>
  <r>
    <x v="4"/>
    <s v="01/22/2025"/>
    <s v="Invoice"/>
    <n v="12608"/>
    <x v="10"/>
    <s v="02/21/2025"/>
    <n v="3228"/>
    <n v="3228"/>
    <x v="2"/>
  </r>
  <r>
    <x v="4"/>
    <s v="01/22/2025"/>
    <s v="Invoice"/>
    <n v="12618"/>
    <x v="45"/>
    <s v="02/21/2025"/>
    <n v="8919.8799999999992"/>
    <n v="8919.8799999999992"/>
    <x v="3"/>
  </r>
  <r>
    <x v="4"/>
    <s v="01/23/2025"/>
    <s v="Invoice"/>
    <n v="12613"/>
    <x v="10"/>
    <s v="02/22/2025"/>
    <n v="269"/>
    <n v="269"/>
    <x v="2"/>
  </r>
  <r>
    <x v="4"/>
    <s v="01/23/2025"/>
    <s v="Invoice"/>
    <n v="12627"/>
    <x v="65"/>
    <s v="02/22/2025"/>
    <n v="2451.5"/>
    <n v="2451.5"/>
    <x v="3"/>
  </r>
  <r>
    <x v="4"/>
    <s v="01/07/2025"/>
    <s v="Invoice"/>
    <n v="12523"/>
    <x v="53"/>
    <s v="03/08/2025"/>
    <n v="9719.8799999999992"/>
    <n v="9719.8799999999992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9">
  <r>
    <x v="0"/>
    <s v="04/05/2023"/>
    <s v="Invoice"/>
    <s v="10723"/>
    <x v="0"/>
    <s v="05/05/2023"/>
    <n v="5042.5"/>
    <n v="1700"/>
  </r>
  <r>
    <x v="0"/>
    <s v="06/16/2023"/>
    <s v="Invoice"/>
    <s v="10903"/>
    <x v="1"/>
    <s v="07/16/2023"/>
    <n v="1862"/>
    <n v="931"/>
  </r>
  <r>
    <x v="0"/>
    <s v="07/25/2023"/>
    <s v="Invoice"/>
    <s v="11006"/>
    <x v="2"/>
    <s v="08/24/2023"/>
    <n v="1271"/>
    <n v="1271"/>
  </r>
  <r>
    <x v="0"/>
    <s v="10/19/2023"/>
    <s v="Invoice"/>
    <s v="11226"/>
    <x v="3"/>
    <s v="11/18/2023"/>
    <n v="1324.38"/>
    <n v="1324.38"/>
  </r>
  <r>
    <x v="0"/>
    <s v="03/18/2025"/>
    <s v="Invoice"/>
    <s v="13019"/>
    <x v="4"/>
    <s v="04/17/2025"/>
    <n v="12036.32"/>
    <n v="12036.32"/>
  </r>
  <r>
    <x v="0"/>
    <s v="05/16/2025"/>
    <s v="Invoice"/>
    <s v="13520"/>
    <x v="5"/>
    <s v="06/15/2025"/>
    <n v="524.62"/>
    <n v="524.62"/>
  </r>
  <r>
    <x v="0"/>
    <s v="06/10/2025"/>
    <s v="Invoice"/>
    <s v="13669"/>
    <x v="6"/>
    <s v="07/10/2025"/>
    <n v="10024.84"/>
    <n v="4512"/>
  </r>
  <r>
    <x v="0"/>
    <s v="06/26/2025"/>
    <s v="Invoice"/>
    <s v="13863"/>
    <x v="7"/>
    <s v="07/26/2025"/>
    <n v="2546"/>
    <n v="46"/>
  </r>
  <r>
    <x v="0"/>
    <s v="07/01/2025"/>
    <s v="Invoice"/>
    <s v="13927"/>
    <x v="8"/>
    <s v="07/31/2025"/>
    <n v="4560.75"/>
    <n v="4560.75"/>
  </r>
  <r>
    <x v="1"/>
    <s v="07/08/2025"/>
    <s v="Invoice"/>
    <s v="13923"/>
    <x v="9"/>
    <s v="08/07/2025"/>
    <n v="9435.75"/>
    <n v="9435.75"/>
  </r>
  <r>
    <x v="1"/>
    <s v="07/09/2025"/>
    <s v="Invoice"/>
    <s v="13936"/>
    <x v="10"/>
    <s v="08/08/2025"/>
    <n v="1075.5899999999999"/>
    <n v="1075.5899999999999"/>
  </r>
  <r>
    <x v="1"/>
    <s v="07/16/2025"/>
    <s v="Invoice"/>
    <s v="14014"/>
    <x v="9"/>
    <s v="08/15/2025"/>
    <n v="2862.13"/>
    <n v="2862.13"/>
  </r>
  <r>
    <x v="1"/>
    <s v="07/18/2025"/>
    <s v="Invoice"/>
    <s v="14043"/>
    <x v="4"/>
    <s v="08/17/2025"/>
    <n v="2000"/>
    <n v="2000"/>
  </r>
  <r>
    <x v="1"/>
    <s v="07/18/2025"/>
    <s v="Invoice"/>
    <s v="14044"/>
    <x v="6"/>
    <s v="08/17/2025"/>
    <n v="500"/>
    <n v="500"/>
  </r>
  <r>
    <x v="1"/>
    <s v="07/31/2025"/>
    <s v="Invoice"/>
    <s v="14175"/>
    <x v="11"/>
    <s v="08/30/2025"/>
    <n v="5330.5"/>
    <n v="5330.5"/>
  </r>
  <r>
    <x v="2"/>
    <s v="08/11/2025"/>
    <s v="Invoice"/>
    <s v="14268"/>
    <x v="12"/>
    <s v="09/10/2025"/>
    <n v="6844.96"/>
    <n v="6844.96"/>
  </r>
  <r>
    <x v="2"/>
    <s v="08/15/2025"/>
    <s v="Invoice"/>
    <s v="14288"/>
    <x v="12"/>
    <s v="09/14/2025"/>
    <n v="6081"/>
    <n v="6081"/>
  </r>
  <r>
    <x v="2"/>
    <s v="08/18/2025"/>
    <s v="Invoice"/>
    <s v="14339"/>
    <x v="4"/>
    <s v="09/17/2025"/>
    <n v="500"/>
    <n v="500"/>
  </r>
  <r>
    <x v="2"/>
    <s v="08/26/2025"/>
    <s v="Invoice"/>
    <s v="14379"/>
    <x v="13"/>
    <s v="09/25/2025"/>
    <n v="2870.25"/>
    <n v="1425"/>
  </r>
  <r>
    <x v="2"/>
    <s v="08/26/2025"/>
    <s v="Invoice"/>
    <s v="14403"/>
    <x v="14"/>
    <s v="09/25/2025"/>
    <n v="2443.25"/>
    <n v="1200"/>
  </r>
  <r>
    <x v="2"/>
    <s v="08/26/2025"/>
    <s v="Invoice"/>
    <s v="14484"/>
    <x v="5"/>
    <s v="09/25/2025"/>
    <n v="2277.2800000000002"/>
    <n v="2277.2800000000002"/>
  </r>
  <r>
    <x v="2"/>
    <s v="08/27/2025"/>
    <s v="Invoice"/>
    <s v="14427"/>
    <x v="15"/>
    <s v="09/26/2025"/>
    <n v="975.75"/>
    <n v="975.75"/>
  </r>
  <r>
    <x v="2"/>
    <s v="08/29/2025"/>
    <s v="Invoice"/>
    <s v="14509"/>
    <x v="10"/>
    <s v="09/28/2025"/>
    <n v="1686.54"/>
    <n v="1686.54"/>
  </r>
  <r>
    <x v="2"/>
    <s v="09/03/2025"/>
    <s v="Invoice"/>
    <s v="14518"/>
    <x v="16"/>
    <s v="10/03/2025"/>
    <n v="1051.48"/>
    <n v="1051.48"/>
  </r>
  <r>
    <x v="3"/>
    <s v="09/09/2025"/>
    <s v="Invoice"/>
    <s v="14536"/>
    <x v="14"/>
    <s v="10/09/2025"/>
    <n v="2443.25"/>
    <n v="2443.25"/>
  </r>
  <r>
    <x v="3"/>
    <s v="09/09/2025"/>
    <s v="Invoice"/>
    <s v="14538"/>
    <x v="17"/>
    <s v="10/09/2025"/>
    <n v="1128.8800000000001"/>
    <n v="1128.8800000000001"/>
  </r>
  <r>
    <x v="3"/>
    <s v="09/10/2025"/>
    <s v="Invoice"/>
    <s v="14554"/>
    <x v="18"/>
    <s v="10/10/2025"/>
    <n v="10066.370000000001"/>
    <n v="10066.370000000001"/>
  </r>
  <r>
    <x v="3"/>
    <s v="09/10/2025"/>
    <s v="Invoice"/>
    <s v="14557"/>
    <x v="19"/>
    <s v="10/10/2025"/>
    <n v="2725.38"/>
    <n v="2725.38"/>
  </r>
  <r>
    <x v="3"/>
    <s v="09/10/2025"/>
    <s v="Invoice"/>
    <s v="14558"/>
    <x v="17"/>
    <s v="10/10/2025"/>
    <n v="1218.8800000000001"/>
    <n v="1218.8800000000001"/>
  </r>
  <r>
    <x v="3"/>
    <s v="09/10/2025"/>
    <s v="Invoice"/>
    <s v="14560"/>
    <x v="20"/>
    <s v="10/10/2025"/>
    <n v="1320.25"/>
    <n v="1320.25"/>
  </r>
  <r>
    <x v="3"/>
    <s v="09/10/2025"/>
    <s v="Invoice"/>
    <s v="14562"/>
    <x v="21"/>
    <s v="10/10/2025"/>
    <n v="2440.5"/>
    <n v="2440.5"/>
  </r>
  <r>
    <x v="3"/>
    <s v="09/10/2025"/>
    <s v="Invoice"/>
    <s v="14571"/>
    <x v="12"/>
    <s v="10/10/2025"/>
    <n v="3824.8"/>
    <n v="3824.8"/>
  </r>
  <r>
    <x v="3"/>
    <s v="09/16/2025"/>
    <s v="Invoice"/>
    <s v="14581"/>
    <x v="18"/>
    <s v="10/16/2025"/>
    <n v="1368.88"/>
    <n v="1368.88"/>
  </r>
  <r>
    <x v="3"/>
    <s v="09/16/2025"/>
    <s v="Invoice"/>
    <s v="14584"/>
    <x v="22"/>
    <s v="10/16/2025"/>
    <n v="3251.5"/>
    <n v="3251.5"/>
  </r>
  <r>
    <x v="3"/>
    <s v="09/17/2025"/>
    <s v="Invoice"/>
    <s v="14589"/>
    <x v="4"/>
    <s v="10/17/2025"/>
    <n v="500"/>
    <n v="500"/>
  </r>
  <r>
    <x v="3"/>
    <s v="09/17/2025"/>
    <s v="Invoice"/>
    <s v="14591"/>
    <x v="23"/>
    <s v="10/17/2025"/>
    <n v="825.75"/>
    <n v="825.75"/>
  </r>
  <r>
    <x v="3"/>
    <s v="09/17/2025"/>
    <s v="Invoice"/>
    <s v="14599"/>
    <x v="19"/>
    <s v="10/17/2025"/>
    <n v="2646"/>
    <n v="2646"/>
  </r>
  <r>
    <x v="3"/>
    <s v="09/17/2025"/>
    <s v="Invoice"/>
    <s v="14604"/>
    <x v="24"/>
    <s v="10/17/2025"/>
    <n v="1361.28"/>
    <n v="1361.28"/>
  </r>
  <r>
    <x v="3"/>
    <s v="09/17/2025"/>
    <s v="Invoice"/>
    <s v="14607"/>
    <x v="25"/>
    <s v="10/17/2025"/>
    <n v="7615"/>
    <n v="7615"/>
  </r>
  <r>
    <x v="3"/>
    <s v="09/19/2025"/>
    <s v="Invoice"/>
    <s v="14631"/>
    <x v="26"/>
    <s v="10/19/2025"/>
    <n v="1168.8800000000001"/>
    <n v="1168.8800000000001"/>
  </r>
  <r>
    <x v="3"/>
    <s v="09/19/2025"/>
    <s v="Invoice"/>
    <s v="14633"/>
    <x v="26"/>
    <s v="10/19/2025"/>
    <n v="2268.75"/>
    <n v="2268.75"/>
  </r>
  <r>
    <x v="3"/>
    <s v="09/23/2025"/>
    <s v="Invoice"/>
    <s v="14716"/>
    <x v="12"/>
    <s v="10/23/2025"/>
    <n v="1429.14"/>
    <n v="1429.14"/>
  </r>
  <r>
    <x v="3"/>
    <s v="09/24/2025"/>
    <s v="Invoice"/>
    <s v="14744"/>
    <x v="27"/>
    <s v="10/24/2025"/>
    <n v="2510.06"/>
    <n v="2510.06"/>
  </r>
  <r>
    <x v="3"/>
    <s v="09/25/2025"/>
    <s v="Invoice"/>
    <s v="14713"/>
    <x v="28"/>
    <s v="10/25/2025"/>
    <n v="4445.95"/>
    <n v="4445.95"/>
  </r>
  <r>
    <x v="3"/>
    <s v="09/26/2025"/>
    <s v="Invoice"/>
    <s v="14669"/>
    <x v="12"/>
    <s v="10/26/2025"/>
    <n v="3060.75"/>
    <n v="3060.75"/>
  </r>
  <r>
    <x v="3"/>
    <s v="09/26/2025"/>
    <s v="Invoice"/>
    <s v="14677"/>
    <x v="29"/>
    <s v="10/26/2025"/>
    <n v="1644.85"/>
    <n v="1.2"/>
  </r>
  <r>
    <x v="3"/>
    <s v="09/26/2025"/>
    <s v="Invoice"/>
    <s v="14711"/>
    <x v="26"/>
    <s v="10/26/2025"/>
    <n v="1175.75"/>
    <n v="1175.75"/>
  </r>
  <r>
    <x v="3"/>
    <s v="09/26/2025"/>
    <s v="Invoice"/>
    <s v="14712"/>
    <x v="26"/>
    <s v="10/26/2025"/>
    <n v="1174.3800000000001"/>
    <n v="1174.3800000000001"/>
  </r>
  <r>
    <x v="3"/>
    <s v="09/30/2025"/>
    <s v="Invoice"/>
    <s v="14727"/>
    <x v="30"/>
    <s v="10/30/2025"/>
    <n v="2820.4"/>
    <n v="2820.4"/>
  </r>
  <r>
    <x v="3"/>
    <s v="10/01/2025"/>
    <s v="Invoice"/>
    <s v="14739"/>
    <x v="31"/>
    <s v="10/31/2025"/>
    <n v="2251.5"/>
    <n v="2251.5"/>
  </r>
  <r>
    <x v="3"/>
    <s v="10/02/2025"/>
    <s v="Invoice"/>
    <s v="14749"/>
    <x v="32"/>
    <s v="11/01/2025"/>
    <n v="2179.14"/>
    <n v="2179.14"/>
  </r>
  <r>
    <x v="3"/>
    <s v="10/02/2025"/>
    <s v="Invoice"/>
    <s v="14753"/>
    <x v="32"/>
    <s v="11/01/2025"/>
    <n v="2179.14"/>
    <n v="2179.14"/>
  </r>
  <r>
    <x v="3"/>
    <s v="10/02/2025"/>
    <s v="Invoice"/>
    <s v="14756"/>
    <x v="32"/>
    <s v="11/01/2025"/>
    <n v="2179.14"/>
    <n v="2179.14"/>
  </r>
  <r>
    <x v="3"/>
    <s v="10/02/2025"/>
    <s v="Invoice"/>
    <s v="14757"/>
    <x v="32"/>
    <s v="11/01/2025"/>
    <n v="2179.14"/>
    <n v="2179.14"/>
  </r>
  <r>
    <x v="3"/>
    <s v="10/03/2025"/>
    <s v="Invoice"/>
    <s v="14754"/>
    <x v="6"/>
    <s v="11/02/2025"/>
    <n v="2577.75"/>
    <n v="2577.75"/>
  </r>
  <r>
    <x v="3"/>
    <s v="09/04/2025"/>
    <s v="Invoice"/>
    <s v="14516"/>
    <x v="33"/>
    <s v="11/03/2025"/>
    <n v="1375.75"/>
    <n v="1375.75"/>
  </r>
  <r>
    <x v="4"/>
    <s v="10/06/2025"/>
    <s v="Invoice"/>
    <s v="14949"/>
    <x v="6"/>
    <s v="11/05/2025"/>
    <n v="510.33"/>
    <n v="510.33"/>
  </r>
  <r>
    <x v="4"/>
    <s v="10/07/2025"/>
    <s v="Invoice"/>
    <s v="14943"/>
    <x v="32"/>
    <s v="11/06/2025"/>
    <n v="2467.25"/>
    <n v="2467.25"/>
  </r>
  <r>
    <x v="4"/>
    <s v="10/07/2025"/>
    <s v="Invoice"/>
    <s v="14944"/>
    <x v="32"/>
    <s v="11/06/2025"/>
    <n v="2467.25"/>
    <n v="2467.25"/>
  </r>
  <r>
    <x v="4"/>
    <s v="10/08/2025"/>
    <s v="Invoice"/>
    <s v="14941"/>
    <x v="32"/>
    <s v="11/07/2025"/>
    <n v="2789.08"/>
    <n v="2789.08"/>
  </r>
  <r>
    <x v="4"/>
    <s v="10/08/2025"/>
    <s v="Invoice"/>
    <s v="14942"/>
    <x v="32"/>
    <s v="11/07/2025"/>
    <n v="2654.08"/>
    <n v="2654.08"/>
  </r>
  <r>
    <x v="4"/>
    <s v="10/09/2025"/>
    <s v="Invoice"/>
    <s v="14775"/>
    <x v="34"/>
    <s v="11/08/2025"/>
    <n v="2627.89"/>
    <n v="2627.89"/>
  </r>
  <r>
    <x v="4"/>
    <s v="10/09/2025"/>
    <s v="Invoice"/>
    <s v="14776"/>
    <x v="35"/>
    <s v="11/08/2025"/>
    <n v="1020.25"/>
    <n v="1020.25"/>
  </r>
  <r>
    <x v="4"/>
    <s v="10/09/2025"/>
    <s v="Invoice"/>
    <s v="14777"/>
    <x v="36"/>
    <s v="11/08/2025"/>
    <n v="5286.5"/>
    <n v="5286.5"/>
  </r>
  <r>
    <x v="4"/>
    <s v="10/09/2025"/>
    <s v="Invoice"/>
    <s v="14778"/>
    <x v="37"/>
    <s v="11/08/2025"/>
    <n v="6738"/>
    <n v="6738"/>
  </r>
  <r>
    <x v="4"/>
    <s v="10/09/2025"/>
    <s v="Invoice"/>
    <s v="14780"/>
    <x v="32"/>
    <s v="11/08/2025"/>
    <n v="1370.25"/>
    <n v="1370.25"/>
  </r>
  <r>
    <x v="4"/>
    <s v="10/09/2025"/>
    <s v="Invoice"/>
    <s v="14782"/>
    <x v="32"/>
    <s v="11/08/2025"/>
    <n v="1370.25"/>
    <n v="1370.25"/>
  </r>
  <r>
    <x v="4"/>
    <s v="10/09/2025"/>
    <s v="Invoice"/>
    <s v="14783"/>
    <x v="32"/>
    <s v="11/08/2025"/>
    <n v="1370.25"/>
    <n v="1370.25"/>
  </r>
  <r>
    <x v="4"/>
    <s v="10/09/2025"/>
    <s v="Invoice"/>
    <s v="14786"/>
    <x v="32"/>
    <s v="11/08/2025"/>
    <n v="1370.25"/>
    <n v="1370.25"/>
  </r>
  <r>
    <x v="4"/>
    <s v="10/09/2025"/>
    <s v="Invoice"/>
    <s v="14788"/>
    <x v="38"/>
    <s v="11/08/2025"/>
    <n v="1223"/>
    <n v="1223"/>
  </r>
  <r>
    <x v="4"/>
    <s v="10/09/2025"/>
    <s v="Invoice"/>
    <s v="14791"/>
    <x v="39"/>
    <s v="11/08/2025"/>
    <n v="2646"/>
    <n v="2646"/>
  </r>
  <r>
    <x v="4"/>
    <s v="10/09/2025"/>
    <s v="Invoice"/>
    <s v="14806"/>
    <x v="40"/>
    <s v="11/08/2025"/>
    <n v="2446"/>
    <n v="2446"/>
  </r>
  <r>
    <x v="4"/>
    <s v="10/09/2025"/>
    <s v="Invoice"/>
    <s v="14810"/>
    <x v="41"/>
    <s v="11/08/2025"/>
    <n v="3827.25"/>
    <n v="3827.25"/>
  </r>
  <r>
    <x v="4"/>
    <s v="10/09/2025"/>
    <s v="Invoice"/>
    <s v="14813"/>
    <x v="41"/>
    <s v="11/08/2025"/>
    <n v="3827.25"/>
    <n v="3827.25"/>
  </r>
  <r>
    <x v="4"/>
    <s v="10/09/2025"/>
    <s v="Invoice"/>
    <s v="14817"/>
    <x v="42"/>
    <s v="11/08/2025"/>
    <n v="1323"/>
    <n v="1223"/>
  </r>
  <r>
    <x v="4"/>
    <s v="10/09/2025"/>
    <s v="Invoice"/>
    <s v="14818"/>
    <x v="43"/>
    <s v="11/08/2025"/>
    <n v="2046"/>
    <n v="2046"/>
  </r>
  <r>
    <x v="4"/>
    <s v="10/09/2025"/>
    <s v="Invoice"/>
    <s v="14830"/>
    <x v="44"/>
    <s v="11/08/2025"/>
    <n v="4295.25"/>
    <n v="4295.25"/>
  </r>
  <r>
    <x v="4"/>
    <s v="10/09/2025"/>
    <s v="Invoice"/>
    <s v="14831"/>
    <x v="20"/>
    <s v="11/08/2025"/>
    <n v="4770.25"/>
    <n v="4770.25"/>
  </r>
  <r>
    <x v="4"/>
    <s v="10/09/2025"/>
    <s v="Invoice"/>
    <s v="14832"/>
    <x v="45"/>
    <s v="11/08/2025"/>
    <n v="4050.25"/>
    <n v="4050.25"/>
  </r>
  <r>
    <x v="4"/>
    <s v="10/09/2025"/>
    <s v="Invoice"/>
    <s v="14834"/>
    <x v="46"/>
    <s v="11/08/2025"/>
    <n v="4196.63"/>
    <n v="4196.63"/>
  </r>
  <r>
    <x v="4"/>
    <s v="10/09/2025"/>
    <s v="Invoice"/>
    <s v="14835"/>
    <x v="47"/>
    <s v="11/08/2025"/>
    <n v="5520.25"/>
    <n v="5520.25"/>
  </r>
  <r>
    <x v="4"/>
    <s v="10/09/2025"/>
    <s v="Invoice"/>
    <s v="14838"/>
    <x v="35"/>
    <s v="11/08/2025"/>
    <n v="4081"/>
    <n v="4081"/>
  </r>
  <r>
    <x v="4"/>
    <s v="10/09/2025"/>
    <s v="Invoice"/>
    <s v="14839"/>
    <x v="39"/>
    <s v="11/08/2025"/>
    <n v="3569"/>
    <n v="3569"/>
  </r>
  <r>
    <x v="4"/>
    <s v="10/09/2025"/>
    <s v="Invoice"/>
    <s v="14840"/>
    <x v="36"/>
    <s v="11/08/2025"/>
    <n v="2643.25"/>
    <n v="2643.25"/>
  </r>
  <r>
    <x v="4"/>
    <s v="10/09/2025"/>
    <s v="Invoice"/>
    <s v="14935"/>
    <x v="48"/>
    <s v="11/08/2025"/>
    <n v="569.61"/>
    <n v="569.61"/>
  </r>
  <r>
    <x v="4"/>
    <s v="10/09/2025"/>
    <s v="Invoice"/>
    <s v="14936"/>
    <x v="49"/>
    <s v="11/08/2025"/>
    <n v="717.92"/>
    <n v="717.92"/>
  </r>
  <r>
    <x v="4"/>
    <s v="10/09/2025"/>
    <s v="Invoice"/>
    <s v="14937"/>
    <x v="12"/>
    <s v="11/08/2025"/>
    <n v="4930.92"/>
    <n v="4930.92"/>
  </r>
  <r>
    <x v="4"/>
    <s v="10/09/2025"/>
    <s v="Invoice"/>
    <s v="14938"/>
    <x v="50"/>
    <s v="11/08/2025"/>
    <n v="5384.99"/>
    <n v="5384.99"/>
  </r>
  <r>
    <x v="4"/>
    <s v="10/09/2025"/>
    <s v="Invoice"/>
    <s v="14939"/>
    <x v="24"/>
    <s v="11/08/2025"/>
    <n v="2090.17"/>
    <n v="2090.17"/>
  </r>
  <r>
    <x v="4"/>
    <s v="10/10/2025"/>
    <s v="Invoice"/>
    <s v="14842"/>
    <x v="51"/>
    <s v="11/09/2025"/>
    <n v="1918.88"/>
    <n v="1918.88"/>
  </r>
  <r>
    <x v="4"/>
    <s v="10/10/2025"/>
    <s v="Invoice"/>
    <s v="14844"/>
    <x v="52"/>
    <s v="11/09/2025"/>
    <n v="1223"/>
    <n v="1223"/>
  </r>
  <r>
    <x v="4"/>
    <s v="10/10/2025"/>
    <s v="Invoice"/>
    <s v="14849"/>
    <x v="53"/>
    <s v="11/09/2025"/>
    <n v="1325.75"/>
    <n v="1325.75"/>
  </r>
  <r>
    <x v="4"/>
    <s v="10/10/2025"/>
    <s v="Invoice"/>
    <s v="14934"/>
    <x v="34"/>
    <s v="11/09/2025"/>
    <n v="1545.9"/>
    <n v="1545.9"/>
  </r>
  <r>
    <x v="4"/>
    <s v="10/13/2025"/>
    <s v="Invoice"/>
    <s v="14855"/>
    <x v="54"/>
    <s v="11/12/2025"/>
    <n v="7427.25"/>
    <n v="7427.25"/>
  </r>
  <r>
    <x v="4"/>
    <s v="10/13/2025"/>
    <s v="Invoice"/>
    <s v="14858"/>
    <x v="51"/>
    <s v="11/12/2025"/>
    <n v="1893.88"/>
    <n v="1893.88"/>
  </r>
  <r>
    <x v="4"/>
    <s v="10/13/2025"/>
    <s v="Invoice"/>
    <s v="14933"/>
    <x v="55"/>
    <s v="11/12/2025"/>
    <n v="376.03"/>
    <n v="376.03"/>
  </r>
  <r>
    <x v="4"/>
    <s v="10/14/2025"/>
    <s v="Invoice"/>
    <s v="14872"/>
    <x v="44"/>
    <s v="11/13/2025"/>
    <n v="9685.75"/>
    <n v="9685.75"/>
  </r>
  <r>
    <x v="4"/>
    <s v="10/14/2025"/>
    <s v="Invoice"/>
    <s v="14873"/>
    <x v="56"/>
    <s v="11/13/2025"/>
    <n v="2740.5"/>
    <n v="2740.5"/>
  </r>
  <r>
    <x v="4"/>
    <s v="10/14/2025"/>
    <s v="Invoice"/>
    <s v="14880"/>
    <x v="42"/>
    <s v="11/13/2025"/>
    <n v="1323"/>
    <n v="1223"/>
  </r>
  <r>
    <x v="4"/>
    <s v="10/14/2025"/>
    <s v="Invoice"/>
    <s v="14885"/>
    <x v="57"/>
    <s v="11/13/2025"/>
    <n v="3770.25"/>
    <n v="3770.25"/>
  </r>
  <r>
    <x v="4"/>
    <s v="10/14/2025"/>
    <s v="Invoice"/>
    <s v="14886"/>
    <x v="58"/>
    <s v="11/13/2025"/>
    <n v="2646"/>
    <n v="2646"/>
  </r>
  <r>
    <x v="4"/>
    <s v="10/14/2025"/>
    <s v="Invoice"/>
    <s v="14887"/>
    <x v="59"/>
    <s v="11/13/2025"/>
    <n v="1121.6300000000001"/>
    <n v="1121.6300000000001"/>
  </r>
  <r>
    <x v="4"/>
    <s v="10/14/2025"/>
    <s v="Invoice"/>
    <s v="14888"/>
    <x v="43"/>
    <s v="11/13/2025"/>
    <n v="6092"/>
    <n v="6092"/>
  </r>
  <r>
    <x v="4"/>
    <s v="10/14/2025"/>
    <s v="Invoice"/>
    <s v="14889"/>
    <x v="40"/>
    <s v="11/13/2025"/>
    <n v="4532"/>
    <n v="4532"/>
  </r>
  <r>
    <x v="4"/>
    <s v="10/14/2025"/>
    <s v="Invoice"/>
    <s v="14890"/>
    <x v="41"/>
    <s v="11/13/2025"/>
    <n v="2551.5"/>
    <n v="2551.5"/>
  </r>
  <r>
    <x v="4"/>
    <s v="10/14/2025"/>
    <s v="Invoice"/>
    <s v="14891"/>
    <x v="60"/>
    <s v="11/13/2025"/>
    <n v="3775.75"/>
    <n v="3775.75"/>
  </r>
  <r>
    <x v="4"/>
    <s v="10/14/2025"/>
    <s v="Invoice"/>
    <s v="14894"/>
    <x v="38"/>
    <s v="11/13/2025"/>
    <n v="1223"/>
    <n v="1223"/>
  </r>
  <r>
    <x v="4"/>
    <s v="10/14/2025"/>
    <s v="Invoice"/>
    <s v="14895"/>
    <x v="52"/>
    <s v="11/13/2025"/>
    <n v="1223"/>
    <n v="1223"/>
  </r>
  <r>
    <x v="4"/>
    <s v="10/14/2025"/>
    <s v="Invoice"/>
    <s v="14896"/>
    <x v="50"/>
    <s v="11/13/2025"/>
    <n v="2243.25"/>
    <n v="2243.25"/>
  </r>
  <r>
    <x v="4"/>
    <s v="10/14/2025"/>
    <s v="Invoice"/>
    <s v="14897"/>
    <x v="61"/>
    <s v="11/13/2025"/>
    <n v="2637.75"/>
    <n v="2637.75"/>
  </r>
  <r>
    <x v="4"/>
    <s v="10/14/2025"/>
    <s v="Invoice"/>
    <s v="14898"/>
    <x v="62"/>
    <s v="11/13/2025"/>
    <n v="1375.75"/>
    <n v="1375.75"/>
  </r>
  <r>
    <x v="4"/>
    <s v="10/14/2025"/>
    <s v="Invoice"/>
    <s v="14900"/>
    <x v="63"/>
    <s v="11/13/2025"/>
    <n v="1675.75"/>
    <n v="1675.75"/>
  </r>
  <r>
    <x v="4"/>
    <s v="10/14/2025"/>
    <s v="Invoice"/>
    <s v="14901"/>
    <x v="34"/>
    <s v="11/13/2025"/>
    <n v="2627.89"/>
    <n v="2627.89"/>
  </r>
  <r>
    <x v="4"/>
    <s v="10/14/2025"/>
    <s v="Invoice"/>
    <s v="14902"/>
    <x v="39"/>
    <s v="11/13/2025"/>
    <n v="2646"/>
    <n v="2646"/>
  </r>
  <r>
    <x v="4"/>
    <s v="10/14/2025"/>
    <s v="Invoice"/>
    <s v="14930"/>
    <x v="10"/>
    <s v="11/13/2025"/>
    <n v="772.66"/>
    <n v="772.66"/>
  </r>
  <r>
    <x v="4"/>
    <s v="10/14/2025"/>
    <s v="Invoice"/>
    <s v="14932"/>
    <x v="64"/>
    <s v="11/13/2025"/>
    <n v="2916.33"/>
    <n v="2916.33"/>
  </r>
  <r>
    <x v="4"/>
    <s v="10/15/2025"/>
    <s v="Invoice"/>
    <s v="14914"/>
    <x v="65"/>
    <s v="11/14/2025"/>
    <n v="2140.5"/>
    <n v="2140.5"/>
  </r>
  <r>
    <x v="4"/>
    <s v="10/15/2025"/>
    <s v="Invoice"/>
    <s v="14915"/>
    <x v="66"/>
    <s v="11/14/2025"/>
    <n v="2351.5"/>
    <n v="2351.5"/>
  </r>
  <r>
    <x v="4"/>
    <s v="10/15/2025"/>
    <s v="Invoice"/>
    <s v="14916"/>
    <x v="36"/>
    <s v="11/14/2025"/>
    <n v="3964.88"/>
    <n v="3964.88"/>
  </r>
  <r>
    <x v="4"/>
    <s v="10/15/2025"/>
    <s v="Invoice"/>
    <s v="14918"/>
    <x v="20"/>
    <s v="11/14/2025"/>
    <n v="1320.25"/>
    <n v="1320.25"/>
  </r>
  <r>
    <x v="4"/>
    <s v="09/17/2025"/>
    <s v="Invoice"/>
    <s v="14601"/>
    <x v="33"/>
    <s v="11/16/2025"/>
    <n v="4127.25"/>
    <n v="4127.25"/>
  </r>
  <r>
    <x v="4"/>
    <s v="10/17/2025"/>
    <s v="Invoice"/>
    <s v="14966"/>
    <x v="18"/>
    <s v="11/16/2025"/>
    <n v="3373.26"/>
    <n v="3373.26"/>
  </r>
  <r>
    <x v="4"/>
    <s v="10/20/2025"/>
    <s v="Invoice"/>
    <s v="14950"/>
    <x v="45"/>
    <s v="11/19/2025"/>
    <n v="1235.25"/>
    <n v="1235.25"/>
  </r>
  <r>
    <x v="4"/>
    <s v="10/20/2025"/>
    <s v="Invoice"/>
    <s v="14955"/>
    <x v="31"/>
    <s v="11/19/2025"/>
    <n v="1135.75"/>
    <n v="1135.75"/>
  </r>
  <r>
    <x v="4"/>
    <s v="10/20/2025"/>
    <s v="Invoice"/>
    <s v="14956"/>
    <x v="31"/>
    <s v="11/19/2025"/>
    <n v="1325.75"/>
    <n v="1325.75"/>
  </r>
  <r>
    <x v="4"/>
    <s v="10/20/2025"/>
    <s v="Invoice"/>
    <s v="14957"/>
    <x v="18"/>
    <s v="11/19/2025"/>
    <n v="693.88"/>
    <n v="693.88"/>
  </r>
  <r>
    <x v="4"/>
    <s v="10/20/2025"/>
    <s v="Invoice"/>
    <s v="14965"/>
    <x v="67"/>
    <s v="11/19/2025"/>
    <n v="695.72"/>
    <n v="695.72"/>
  </r>
  <r>
    <x v="4"/>
    <s v="10/21/2025"/>
    <s v="Invoice"/>
    <s v="14959"/>
    <x v="26"/>
    <s v="11/20/2025"/>
    <n v="2348.75"/>
    <n v="2348.75"/>
  </r>
  <r>
    <x v="4"/>
    <s v="10/21/2025"/>
    <s v="Invoice"/>
    <s v="14963"/>
    <x v="68"/>
    <s v="11/20/2025"/>
    <n v="2330.25"/>
    <n v="2330.25"/>
  </r>
  <r>
    <x v="4"/>
    <s v="10/21/2025"/>
    <s v="Invoice"/>
    <s v="14980"/>
    <x v="24"/>
    <s v="11/20/2025"/>
    <n v="738.53"/>
    <n v="738.53"/>
  </r>
  <r>
    <x v="4"/>
    <s v="10/22/2025"/>
    <s v="Invoice"/>
    <s v="14969"/>
    <x v="32"/>
    <s v="11/21/2025"/>
    <n v="1370.25"/>
    <n v="1370.25"/>
  </r>
  <r>
    <x v="4"/>
    <s v="10/22/2025"/>
    <s v="Invoice"/>
    <s v="14970"/>
    <x v="32"/>
    <s v="11/21/2025"/>
    <n v="1370.25"/>
    <n v="1370.25"/>
  </r>
  <r>
    <x v="4"/>
    <s v="10/22/2025"/>
    <s v="Invoice"/>
    <s v="14971"/>
    <x v="32"/>
    <s v="11/21/2025"/>
    <n v="1370.25"/>
    <n v="1370.25"/>
  </r>
  <r>
    <x v="4"/>
    <s v="10/22/2025"/>
    <s v="Invoice"/>
    <s v="14972"/>
    <x v="32"/>
    <s v="11/21/2025"/>
    <n v="1370.25"/>
    <n v="1370.25"/>
  </r>
  <r>
    <x v="4"/>
    <s v="10/22/2025"/>
    <s v="Invoice"/>
    <s v="14973"/>
    <x v="24"/>
    <s v="11/21/2025"/>
    <n v="1361.28"/>
    <n v="1361.28"/>
  </r>
  <r>
    <x v="4"/>
    <s v="10/22/2025"/>
    <s v="Invoice"/>
    <s v="14974"/>
    <x v="66"/>
    <s v="11/21/2025"/>
    <n v="1175.75"/>
    <n v="1175.75"/>
  </r>
  <r>
    <x v="4"/>
    <s v="10/22/2025"/>
    <s v="Invoice"/>
    <s v="14975"/>
    <x v="69"/>
    <s v="11/21/2025"/>
    <n v="1370.25"/>
    <n v="1370.25"/>
  </r>
  <r>
    <x v="4"/>
    <s v="10/22/2025"/>
    <s v="Invoice"/>
    <s v="14976"/>
    <x v="70"/>
    <s v="11/21/2025"/>
    <n v="1563"/>
    <n v="1563"/>
  </r>
  <r>
    <x v="4"/>
    <s v="10/22/2025"/>
    <s v="Invoice"/>
    <s v="14977"/>
    <x v="71"/>
    <s v="11/21/2025"/>
    <n v="7743.25"/>
    <n v="7743.25"/>
  </r>
  <r>
    <x v="4"/>
    <s v="10/22/2025"/>
    <s v="Invoice"/>
    <s v="15030"/>
    <x v="72"/>
    <s v="11/21/2025"/>
    <n v="1430.52"/>
    <n v="1430.52"/>
  </r>
  <r>
    <x v="4"/>
    <s v="10/23/2025"/>
    <s v="Invoice"/>
    <s v="14981"/>
    <x v="66"/>
    <s v="11/22/2025"/>
    <n v="4703"/>
    <n v="4703"/>
  </r>
  <r>
    <x v="4"/>
    <s v="10/23/2025"/>
    <s v="Invoice"/>
    <s v="14982"/>
    <x v="50"/>
    <s v="11/22/2025"/>
    <n v="1021.63"/>
    <n v="1021.63"/>
  </r>
  <r>
    <x v="4"/>
    <s v="10/23/2025"/>
    <s v="Invoice"/>
    <s v="14983"/>
    <x v="73"/>
    <s v="11/22/2025"/>
    <n v="1021.63"/>
    <n v="1021.63"/>
  </r>
  <r>
    <x v="4"/>
    <s v="10/23/2025"/>
    <s v="Invoice"/>
    <s v="14984"/>
    <x v="50"/>
    <s v="11/22/2025"/>
    <n v="1121.6300000000001"/>
    <n v="1121.6300000000001"/>
  </r>
  <r>
    <x v="4"/>
    <s v="10/23/2025"/>
    <s v="Invoice"/>
    <s v="14985"/>
    <x v="43"/>
    <s v="11/22/2025"/>
    <n v="4621.8"/>
    <n v="4621.8"/>
  </r>
  <r>
    <x v="4"/>
    <s v="10/23/2025"/>
    <s v="Invoice"/>
    <s v="14986"/>
    <x v="28"/>
    <s v="11/22/2025"/>
    <n v="7101.25"/>
    <n v="7101.25"/>
  </r>
  <r>
    <x v="4"/>
    <s v="10/23/2025"/>
    <s v="Invoice"/>
    <s v="14988"/>
    <x v="18"/>
    <s v="11/22/2025"/>
    <n v="5854.38"/>
    <n v="5854.38"/>
  </r>
  <r>
    <x v="4"/>
    <s v="10/23/2025"/>
    <s v="Invoice"/>
    <s v="14990"/>
    <x v="31"/>
    <s v="11/22/2025"/>
    <n v="1325.75"/>
    <n v="1325.75"/>
  </r>
  <r>
    <x v="4"/>
    <s v="10/23/2025"/>
    <s v="Invoice"/>
    <s v="14991"/>
    <x v="74"/>
    <s v="11/22/2025"/>
    <n v="3043.25"/>
    <n v="3043.25"/>
  </r>
  <r>
    <x v="4"/>
    <s v="10/23/2025"/>
    <s v="Invoice"/>
    <s v="14992"/>
    <x v="75"/>
    <s v="11/22/2025"/>
    <n v="2251.5"/>
    <n v="2251.5"/>
  </r>
  <r>
    <x v="4"/>
    <s v="10/23/2025"/>
    <s v="Invoice"/>
    <s v="14994"/>
    <x v="76"/>
    <s v="11/22/2025"/>
    <n v="1520.25"/>
    <n v="1520.25"/>
  </r>
  <r>
    <x v="4"/>
    <s v="10/23/2025"/>
    <s v="Invoice"/>
    <s v="14995"/>
    <x v="52"/>
    <s v="11/22/2025"/>
    <n v="1325"/>
    <n v="1325"/>
  </r>
  <r>
    <x v="4"/>
    <s v="10/23/2025"/>
    <s v="Invoice"/>
    <s v="14996"/>
    <x v="65"/>
    <s v="11/22/2025"/>
    <n v="1110.25"/>
    <n v="1110.25"/>
  </r>
  <r>
    <x v="4"/>
    <s v="10/23/2025"/>
    <s v="Invoice"/>
    <s v="14997"/>
    <x v="40"/>
    <s v="11/22/2025"/>
    <n v="2446"/>
    <n v="2446"/>
  </r>
  <r>
    <x v="4"/>
    <s v="10/23/2025"/>
    <s v="Invoice"/>
    <s v="14998"/>
    <x v="36"/>
    <s v="11/22/2025"/>
    <n v="3964.88"/>
    <n v="3964.88"/>
  </r>
  <r>
    <x v="4"/>
    <s v="10/23/2025"/>
    <s v="Invoice"/>
    <s v="14999"/>
    <x v="77"/>
    <s v="11/22/2025"/>
    <n v="1412.82"/>
    <n v="1412.82"/>
  </r>
  <r>
    <x v="4"/>
    <s v="10/23/2025"/>
    <s v="Invoice"/>
    <s v="15001"/>
    <x v="78"/>
    <s v="11/22/2025"/>
    <n v="1221.6300000000001"/>
    <n v="1221.6300000000001"/>
  </r>
  <r>
    <x v="4"/>
    <s v="10/23/2025"/>
    <s v="Invoice"/>
    <s v="15002"/>
    <x v="79"/>
    <s v="11/22/2025"/>
    <n v="1275.75"/>
    <n v="1275.75"/>
  </r>
  <r>
    <x v="4"/>
    <s v="10/23/2025"/>
    <s v="Invoice"/>
    <s v="15004"/>
    <x v="80"/>
    <s v="11/22/2025"/>
    <n v="1743.8"/>
    <n v="1743.8"/>
  </r>
  <r>
    <x v="4"/>
    <s v="10/23/2025"/>
    <s v="Invoice"/>
    <s v="15011"/>
    <x v="81"/>
    <s v="11/22/2025"/>
    <n v="1203"/>
    <n v="1203"/>
  </r>
  <r>
    <x v="4"/>
    <s v="10/23/2025"/>
    <s v="Invoice"/>
    <s v="15024"/>
    <x v="82"/>
    <s v="11/22/2025"/>
    <n v="1430.52"/>
    <n v="1430.52"/>
  </r>
  <r>
    <x v="4"/>
    <s v="10/23/2025"/>
    <s v="Invoice"/>
    <s v="15025"/>
    <x v="50"/>
    <s v="11/22/2025"/>
    <n v="1548.4"/>
    <n v="1548.4"/>
  </r>
  <r>
    <x v="4"/>
    <s v="10/23/2025"/>
    <s v="Invoice"/>
    <s v="15026"/>
    <x v="24"/>
    <s v="11/22/2025"/>
    <n v="1002.93"/>
    <n v="1002.93"/>
  </r>
  <r>
    <x v="4"/>
    <s v="10/23/2025"/>
    <s v="Invoice"/>
    <s v="15027"/>
    <x v="83"/>
    <s v="11/22/2025"/>
    <n v="2645.48"/>
    <n v="2645.48"/>
  </r>
  <r>
    <x v="4"/>
    <s v="10/23/2025"/>
    <s v="Invoice"/>
    <s v="15028"/>
    <x v="35"/>
    <s v="11/22/2025"/>
    <n v="1424.16"/>
    <n v="1424.16"/>
  </r>
  <r>
    <x v="4"/>
    <s v="10/24/2025"/>
    <s v="Invoice"/>
    <s v="15005"/>
    <x v="84"/>
    <s v="11/23/2025"/>
    <n v="2443.25"/>
    <n v="2443.25"/>
  </r>
  <r>
    <x v="4"/>
    <s v="10/24/2025"/>
    <s v="Invoice"/>
    <s v="15006"/>
    <x v="45"/>
    <s v="11/23/2025"/>
    <n v="495.25"/>
    <n v="495.25"/>
  </r>
  <r>
    <x v="4"/>
    <s v="10/24/2025"/>
    <s v="Invoice"/>
    <s v="15007"/>
    <x v="57"/>
    <s v="11/23/2025"/>
    <n v="3770.25"/>
    <n v="3770.25"/>
  </r>
  <r>
    <x v="4"/>
    <s v="10/24/2025"/>
    <s v="Invoice"/>
    <s v="15008"/>
    <x v="47"/>
    <s v="11/23/2025"/>
    <n v="3770.25"/>
    <n v="3770.25"/>
  </r>
  <r>
    <x v="4"/>
    <s v="10/24/2025"/>
    <s v="Invoice"/>
    <s v="15010"/>
    <x v="85"/>
    <s v="11/23/2025"/>
    <n v="1370.25"/>
    <n v="1370.25"/>
  </r>
  <r>
    <x v="4"/>
    <s v="10/24/2025"/>
    <s v="Invoice"/>
    <s v="15012"/>
    <x v="86"/>
    <s v="11/23/2025"/>
    <n v="883.8"/>
    <n v="883.8"/>
  </r>
  <r>
    <x v="4"/>
    <s v="10/24/2025"/>
    <s v="Invoice"/>
    <s v="15022"/>
    <x v="35"/>
    <s v="11/23/2025"/>
    <n v="646.4"/>
    <n v="646.4"/>
  </r>
  <r>
    <x v="4"/>
    <s v="10/24/2025"/>
    <s v="Invoice"/>
    <s v="15023"/>
    <x v="35"/>
    <s v="11/23/2025"/>
    <n v="924.16"/>
    <n v="924.16"/>
  </r>
  <r>
    <x v="4"/>
    <s v="10/27/2025"/>
    <s v="Invoice"/>
    <s v="15021"/>
    <x v="31"/>
    <s v="11/26/2025"/>
    <n v="2651.5"/>
    <n v="2651.5"/>
  </r>
  <r>
    <x v="4"/>
    <s v="10/27/2025"/>
    <s v="Invoice"/>
    <s v="15076"/>
    <x v="35"/>
    <s v="11/26/2025"/>
    <n v="658.36"/>
    <n v="658.36"/>
  </r>
  <r>
    <x v="4"/>
    <s v="10/27/2025"/>
    <s v="Invoice"/>
    <s v="15077"/>
    <x v="87"/>
    <s v="11/26/2025"/>
    <n v="996.25"/>
    <n v="996.25"/>
  </r>
  <r>
    <x v="4"/>
    <s v="10/28/2025"/>
    <s v="Invoice"/>
    <s v="15063"/>
    <x v="34"/>
    <s v="11/27/2025"/>
    <n v="1542.1"/>
    <n v="1542.1"/>
  </r>
  <r>
    <x v="4"/>
    <s v="10/28/2025"/>
    <s v="Invoice"/>
    <s v="15064"/>
    <x v="88"/>
    <s v="11/27/2025"/>
    <n v="706.28"/>
    <n v="706.28"/>
  </r>
  <r>
    <x v="4"/>
    <s v="10/28/2025"/>
    <s v="Invoice"/>
    <s v="15068"/>
    <x v="24"/>
    <s v="11/27/2025"/>
    <n v="2824.88"/>
    <n v="2824.88"/>
  </r>
  <r>
    <x v="4"/>
    <s v="10/29/2025"/>
    <s v="Invoice"/>
    <s v="15033"/>
    <x v="40"/>
    <s v="11/28/2025"/>
    <n v="3669"/>
    <n v="3669"/>
  </r>
  <r>
    <x v="4"/>
    <s v="10/29/2025"/>
    <s v="Invoice"/>
    <s v="15034"/>
    <x v="38"/>
    <s v="11/28/2025"/>
    <n v="1223"/>
    <n v="1223"/>
  </r>
  <r>
    <x v="4"/>
    <s v="10/29/2025"/>
    <s v="Invoice"/>
    <s v="15035"/>
    <x v="36"/>
    <s v="11/28/2025"/>
    <n v="5286.5"/>
    <n v="5286.5"/>
  </r>
  <r>
    <x v="4"/>
    <s v="10/29/2025"/>
    <s v="Invoice"/>
    <s v="15036"/>
    <x v="43"/>
    <s v="11/28/2025"/>
    <n v="8025.42"/>
    <n v="8025.42"/>
  </r>
  <r>
    <x v="4"/>
    <s v="10/29/2025"/>
    <s v="Invoice"/>
    <s v="15050"/>
    <x v="24"/>
    <s v="11/28/2025"/>
    <n v="1361.28"/>
    <n v="1361.28"/>
  </r>
  <r>
    <x v="4"/>
    <s v="10/29/2025"/>
    <s v="Invoice"/>
    <s v="15056"/>
    <x v="73"/>
    <s v="11/28/2025"/>
    <n v="4886.5"/>
    <n v="4886.5"/>
  </r>
  <r>
    <x v="4"/>
    <s v="10/29/2025"/>
    <s v="Invoice"/>
    <s v="15059"/>
    <x v="77"/>
    <s v="11/28/2025"/>
    <n v="1412.82"/>
    <n v="1412.82"/>
  </r>
  <r>
    <x v="4"/>
    <s v="10/29/2025"/>
    <s v="Invoice"/>
    <s v="15060"/>
    <x v="83"/>
    <s v="11/28/2025"/>
    <n v="1520.25"/>
    <n v="1520.25"/>
  </r>
  <r>
    <x v="4"/>
    <s v="10/29/2025"/>
    <s v="Invoice"/>
    <s v="15061"/>
    <x v="50"/>
    <s v="11/28/2025"/>
    <n v="1121.6300000000001"/>
    <n v="1121.6300000000001"/>
  </r>
  <r>
    <x v="4"/>
    <s v="10/29/2025"/>
    <s v="Invoice"/>
    <s v="15067"/>
    <x v="79"/>
    <s v="11/28/2025"/>
    <n v="1275.75"/>
    <n v="1275.75"/>
  </r>
  <r>
    <x v="4"/>
    <s v="10/29/2025"/>
    <s v="Invoice"/>
    <s v="15069"/>
    <x v="43"/>
    <s v="11/28/2025"/>
    <n v="46218"/>
    <n v="46218"/>
  </r>
  <r>
    <x v="4"/>
    <s v="10/29/2025"/>
    <s v="Invoice"/>
    <s v="15070"/>
    <x v="89"/>
    <s v="11/28/2025"/>
    <n v="5815.5"/>
    <n v="5815.5"/>
  </r>
  <r>
    <x v="4"/>
    <s v="10/29/2025"/>
    <s v="Invoice"/>
    <s v="15071"/>
    <x v="89"/>
    <s v="11/28/2025"/>
    <n v="5815.5"/>
    <n v="5815.5"/>
  </r>
  <r>
    <x v="4"/>
    <s v="10/29/2025"/>
    <s v="Invoice"/>
    <s v="15072"/>
    <x v="89"/>
    <s v="11/28/2025"/>
    <n v="6176.05"/>
    <n v="6176.05"/>
  </r>
  <r>
    <x v="4"/>
    <s v="10/29/2025"/>
    <s v="Invoice"/>
    <s v="15107"/>
    <x v="28"/>
    <s v="11/28/2025"/>
    <n v="3749.8"/>
    <n v="3749.8"/>
  </r>
  <r>
    <x v="4"/>
    <s v="10/29/2025"/>
    <s v="Invoice"/>
    <s v="15108"/>
    <x v="90"/>
    <s v="11/28/2025"/>
    <n v="2585.6"/>
    <n v="2585.6"/>
  </r>
  <r>
    <x v="4"/>
    <s v="10/29/2025"/>
    <s v="Invoice"/>
    <s v="15109"/>
    <x v="91"/>
    <s v="11/28/2025"/>
    <n v="686.52"/>
    <n v="686.52"/>
  </r>
  <r>
    <x v="4"/>
    <s v="10/29/2025"/>
    <s v="Invoice"/>
    <s v="15110"/>
    <x v="29"/>
    <s v="11/28/2025"/>
    <n v="1743.24"/>
    <n v="1743.24"/>
  </r>
  <r>
    <x v="4"/>
    <s v="10/29/2025"/>
    <s v="Invoice"/>
    <s v="15111"/>
    <x v="34"/>
    <s v="11/28/2025"/>
    <n v="4727.13"/>
    <n v="4727.13"/>
  </r>
  <r>
    <x v="4"/>
    <s v="10/30/2025"/>
    <s v="Invoice"/>
    <s v="15082"/>
    <x v="92"/>
    <s v="11/29/2025"/>
    <n v="2331.5"/>
    <n v="2331.5"/>
  </r>
  <r>
    <x v="4"/>
    <s v="10/30/2025"/>
    <s v="Invoice"/>
    <s v="15083"/>
    <x v="81"/>
    <s v="11/29/2025"/>
    <n v="1323"/>
    <n v="1323"/>
  </r>
  <r>
    <x v="4"/>
    <s v="10/30/2025"/>
    <s v="Invoice"/>
    <s v="15084"/>
    <x v="58"/>
    <s v="11/29/2025"/>
    <n v="3969"/>
    <n v="3969"/>
  </r>
  <r>
    <x v="4"/>
    <s v="10/30/2025"/>
    <s v="Invoice"/>
    <s v="15085"/>
    <x v="74"/>
    <s v="11/29/2025"/>
    <n v="4564.88"/>
    <n v="4564.88"/>
  </r>
  <r>
    <x v="4"/>
    <s v="10/30/2025"/>
    <s v="Invoice"/>
    <s v="15086"/>
    <x v="92"/>
    <s v="11/29/2025"/>
    <n v="1225.75"/>
    <n v="1225.75"/>
  </r>
  <r>
    <x v="4"/>
    <s v="10/30/2025"/>
    <s v="Invoice"/>
    <s v="15087"/>
    <x v="69"/>
    <s v="11/29/2025"/>
    <n v="1370.25"/>
    <n v="1370.25"/>
  </r>
  <r>
    <x v="4"/>
    <s v="10/30/2025"/>
    <s v="Invoice"/>
    <s v="15088"/>
    <x v="75"/>
    <s v="11/29/2025"/>
    <n v="1125.75"/>
    <n v="1125.75"/>
  </r>
  <r>
    <x v="4"/>
    <s v="10/30/2025"/>
    <s v="Invoice"/>
    <s v="15089"/>
    <x v="93"/>
    <s v="11/29/2025"/>
    <n v="12257.5"/>
    <n v="12257.5"/>
  </r>
  <r>
    <x v="4"/>
    <s v="10/30/2025"/>
    <s v="Invoice"/>
    <s v="15099"/>
    <x v="44"/>
    <s v="11/29/2025"/>
    <n v="9685.75"/>
    <n v="9685.75"/>
  </r>
  <r>
    <x v="4"/>
    <s v="10/30/2025"/>
    <s v="Invoice"/>
    <s v="15100"/>
    <x v="94"/>
    <s v="11/29/2025"/>
    <n v="3868.88"/>
    <n v="3868.88"/>
  </r>
  <r>
    <x v="4"/>
    <s v="10/30/2025"/>
    <s v="Invoice"/>
    <s v="15101"/>
    <x v="95"/>
    <s v="11/29/2025"/>
    <n v="3874.38"/>
    <n v="3874.38"/>
  </r>
  <r>
    <x v="4"/>
    <s v="10/30/2025"/>
    <s v="Invoice"/>
    <s v="15102"/>
    <x v="96"/>
    <s v="11/29/2025"/>
    <n v="3101.63"/>
    <n v="3101.63"/>
  </r>
  <r>
    <x v="4"/>
    <s v="10/30/2025"/>
    <s v="Invoice"/>
    <s v="15103"/>
    <x v="45"/>
    <s v="11/29/2025"/>
    <n v="2020.25"/>
    <n v="2020.25"/>
  </r>
  <r>
    <x v="4"/>
    <s v="10/30/2025"/>
    <s v="Invoice"/>
    <s v="15104"/>
    <x v="49"/>
    <s v="11/29/2025"/>
    <n v="1518.88"/>
    <n v="1518.88"/>
  </r>
  <r>
    <x v="4"/>
    <s v="10/30/2025"/>
    <s v="Invoice"/>
    <s v="15105"/>
    <x v="4"/>
    <s v="11/29/2025"/>
    <n v="500"/>
    <n v="500"/>
  </r>
  <r>
    <x v="4"/>
    <s v="10/30/2025"/>
    <s v="Invoice"/>
    <s v="15106"/>
    <x v="28"/>
    <s v="11/29/2025"/>
    <n v="4433.5"/>
    <n v="4433.5"/>
  </r>
  <r>
    <x v="4"/>
    <s v="10/30/2025"/>
    <s v="Invoice"/>
    <s v="15112"/>
    <x v="35"/>
    <s v="11/29/2025"/>
    <n v="3060.75"/>
    <n v="3060.75"/>
  </r>
  <r>
    <x v="4"/>
    <s v="10/30/2025"/>
    <s v="Invoice"/>
    <s v="15124"/>
    <x v="50"/>
    <s v="11/29/2025"/>
    <n v="6771.52"/>
    <n v="6771.52"/>
  </r>
  <r>
    <x v="4"/>
    <s v="10/31/2025"/>
    <s v="Invoice"/>
    <s v="15119"/>
    <x v="97"/>
    <s v="11/30/2025"/>
    <n v="6211.5"/>
    <n v="6211.5"/>
  </r>
  <r>
    <x v="4"/>
    <s v="10/31/2025"/>
    <s v="Invoice"/>
    <s v="15123"/>
    <x v="98"/>
    <s v="11/30/2025"/>
    <n v="362.18"/>
    <n v="362.18"/>
  </r>
  <r>
    <x v="4"/>
    <s v="11/03/2025"/>
    <s v="Invoice"/>
    <s v="15120"/>
    <x v="99"/>
    <s v="12/03/2025"/>
    <n v="949.52"/>
    <n v="949.52"/>
  </r>
  <r>
    <x v="4"/>
    <s v="11/03/2025"/>
    <s v="Invoice"/>
    <s v="15121"/>
    <x v="100"/>
    <s v="12/03/2025"/>
    <n v="2646"/>
    <n v="2646"/>
  </r>
  <r>
    <x v="4"/>
    <s v="11/03/2025"/>
    <s v="Invoice"/>
    <s v="15122"/>
    <x v="31"/>
    <s v="12/03/2025"/>
    <n v="1325.75"/>
    <n v="1325.75"/>
  </r>
  <r>
    <x v="4"/>
    <s v="11/03/2025"/>
    <s v="Invoice"/>
    <s v="15128"/>
    <x v="101"/>
    <s v="12/03/2025"/>
    <n v="658.17"/>
    <n v="658.17"/>
  </r>
  <r>
    <x v="4"/>
    <s v="11/03/2025"/>
    <s v="Invoice"/>
    <s v="15129"/>
    <x v="65"/>
    <s v="12/03/2025"/>
    <n v="1448.72"/>
    <n v="1448.72"/>
  </r>
  <r>
    <x v="4"/>
    <s v="11/04/2025"/>
    <s v="Invoice"/>
    <s v="15127"/>
    <x v="102"/>
    <s v="12/04/2025"/>
    <n v="1520.25"/>
    <n v="1520.25"/>
  </r>
  <r>
    <x v="4"/>
    <s v="10/07/2025"/>
    <s v="Invoice"/>
    <s v="14761"/>
    <x v="33"/>
    <s v="12/06/2025"/>
    <n v="1375.75"/>
    <n v="1375.75"/>
  </r>
  <r>
    <x v="4"/>
    <s v="09/19/2025"/>
    <s v="Invoice"/>
    <s v="14651"/>
    <x v="103"/>
    <s v="12/18/2025"/>
    <n v="736.5"/>
    <n v="736.5"/>
  </r>
  <r>
    <x v="4"/>
    <s v="10/23/2025"/>
    <s v="Invoice"/>
    <s v="15000"/>
    <x v="33"/>
    <s v="12/22/2025"/>
    <n v="1375.75"/>
    <n v="1375.75"/>
  </r>
  <r>
    <x v="4"/>
    <s v="10/28/2025"/>
    <s v="Invoice"/>
    <s v="15073"/>
    <x v="33"/>
    <s v="12/27/2025"/>
    <n v="4127.25"/>
    <n v="4127.25"/>
  </r>
  <r>
    <x v="4"/>
    <s v="10/29/2025"/>
    <s v="Invoice"/>
    <s v="15058"/>
    <x v="33"/>
    <s v="12/28/2025"/>
    <n v="2751.5"/>
    <n v="2751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H8" firstHeaderRow="1" firstDataRow="2" firstDataCol="1"/>
  <pivotFields count="9">
    <pivotField axis="axisCol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164" showAll="0"/>
    <pivotField dataField="1" numFmtId="164" showAll="0"/>
    <pivotField axis="axisRow" showAll="0">
      <items count="5">
        <item x="2"/>
        <item x="3"/>
        <item x="1"/>
        <item x="0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Open Balance" fld="7" baseField="0" baseItem="0" numFmtId="165"/>
  </dataFields>
  <formats count="12">
    <format dxfId="18">
      <pivotArea outline="0" collapsedLevelsAreSubtotals="1" fieldPosition="0"/>
    </format>
    <format dxfId="17">
      <pivotArea outline="0" collapsedLevelsAreSubtotals="1" fieldPosition="0"/>
    </format>
    <format dxfId="16">
      <pivotArea field="0" type="button" dataOnly="0" labelOnly="1" outline="0" axis="axisCol" fieldPosition="0"/>
    </format>
    <format dxfId="15">
      <pivotArea type="topRight" dataOnly="0" labelOnly="1" outline="0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Col="1" outline="0" fieldPosition="0"/>
    </format>
    <format dxfId="12">
      <pivotArea outline="0" collapsedLevelsAreSubtotals="1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Col="1" outline="0" fieldPosition="0"/>
    </format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5:C26" firstHeaderRow="1" firstDataRow="1" firstDataCol="1"/>
  <pivotFields count="9">
    <pivotField showAll="0"/>
    <pivotField showAll="0"/>
    <pivotField showAll="0"/>
    <pivotField showAll="0"/>
    <pivotField axis="axisRow" showAll="0" measureFilter="1">
      <items count="67">
        <item x="62"/>
        <item x="5"/>
        <item x="64"/>
        <item x="61"/>
        <item x="44"/>
        <item x="7"/>
        <item x="8"/>
        <item x="56"/>
        <item x="3"/>
        <item x="18"/>
        <item x="26"/>
        <item x="39"/>
        <item x="9"/>
        <item x="65"/>
        <item x="34"/>
        <item x="38"/>
        <item x="33"/>
        <item x="6"/>
        <item x="54"/>
        <item x="1"/>
        <item x="12"/>
        <item x="40"/>
        <item x="52"/>
        <item x="50"/>
        <item x="41"/>
        <item x="29"/>
        <item x="14"/>
        <item x="55"/>
        <item x="13"/>
        <item x="60"/>
        <item x="51"/>
        <item x="32"/>
        <item x="24"/>
        <item x="15"/>
        <item x="30"/>
        <item x="53"/>
        <item x="35"/>
        <item x="0"/>
        <item x="17"/>
        <item x="43"/>
        <item x="27"/>
        <item x="63"/>
        <item x="49"/>
        <item x="10"/>
        <item x="59"/>
        <item x="57"/>
        <item x="28"/>
        <item x="31"/>
        <item x="37"/>
        <item x="23"/>
        <item x="4"/>
        <item x="16"/>
        <item x="25"/>
        <item x="11"/>
        <item x="42"/>
        <item x="45"/>
        <item x="47"/>
        <item x="22"/>
        <item x="20"/>
        <item x="36"/>
        <item x="46"/>
        <item x="19"/>
        <item x="48"/>
        <item x="2"/>
        <item x="21"/>
        <item x="58"/>
        <item t="default"/>
      </items>
    </pivotField>
    <pivotField showAll="0"/>
    <pivotField numFmtId="164" showAll="0"/>
    <pivotField dataField="1" numFmtId="164" showAll="0"/>
    <pivotField showAll="0"/>
  </pivotFields>
  <rowFields count="1">
    <field x="4"/>
  </rowFields>
  <rowItems count="11">
    <i>
      <x v="6"/>
    </i>
    <i>
      <x v="23"/>
    </i>
    <i>
      <x v="31"/>
    </i>
    <i>
      <x v="33"/>
    </i>
    <i>
      <x v="35"/>
    </i>
    <i>
      <x v="40"/>
    </i>
    <i>
      <x v="43"/>
    </i>
    <i>
      <x v="53"/>
    </i>
    <i>
      <x v="55"/>
    </i>
    <i>
      <x v="62"/>
    </i>
    <i t="grand">
      <x/>
    </i>
  </rowItems>
  <colItems count="1">
    <i/>
  </colItems>
  <dataFields count="1">
    <dataField name="Sum of Open Balance" fld="7" baseField="0" baseItem="0" numFmtId="164"/>
  </dataField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8" indent="0" outline="1" outlineData="1" multipleFieldFilters="0">
  <location ref="A1:B138" firstHeaderRow="1" firstDataRow="1" firstDataCol="1"/>
  <pivotFields count="8">
    <pivotField axis="axisRow" subtotalTop="0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axis="axisRow" showAll="0">
      <items count="105">
        <item x="3"/>
        <item x="1"/>
        <item x="11"/>
        <item x="18"/>
        <item x="2"/>
        <item x="0"/>
        <item x="71"/>
        <item x="4"/>
        <item x="75"/>
        <item x="50"/>
        <item x="9"/>
        <item x="16"/>
        <item x="44"/>
        <item x="54"/>
        <item x="33"/>
        <item x="5"/>
        <item x="34"/>
        <item x="32"/>
        <item x="31"/>
        <item x="27"/>
        <item x="19"/>
        <item x="29"/>
        <item x="39"/>
        <item x="7"/>
        <item x="26"/>
        <item x="8"/>
        <item x="10"/>
        <item x="14"/>
        <item x="15"/>
        <item x="13"/>
        <item x="20"/>
        <item x="46"/>
        <item x="68"/>
        <item x="37"/>
        <item x="92"/>
        <item x="22"/>
        <item x="35"/>
        <item x="73"/>
        <item x="81"/>
        <item x="28"/>
        <item x="17"/>
        <item x="40"/>
        <item x="58"/>
        <item x="12"/>
        <item x="24"/>
        <item x="30"/>
        <item x="47"/>
        <item x="23"/>
        <item x="88"/>
        <item x="21"/>
        <item x="57"/>
        <item x="43"/>
        <item x="25"/>
        <item x="36"/>
        <item x="83"/>
        <item x="60"/>
        <item x="103"/>
        <item x="6"/>
        <item x="55"/>
        <item x="41"/>
        <item x="42"/>
        <item x="65"/>
        <item x="78"/>
        <item x="77"/>
        <item x="38"/>
        <item x="45"/>
        <item x="51"/>
        <item x="52"/>
        <item x="53"/>
        <item x="56"/>
        <item x="59"/>
        <item x="61"/>
        <item x="62"/>
        <item x="48"/>
        <item x="49"/>
        <item x="64"/>
        <item x="66"/>
        <item x="63"/>
        <item x="67"/>
        <item x="69"/>
        <item x="70"/>
        <item x="74"/>
        <item x="76"/>
        <item x="79"/>
        <item x="80"/>
        <item x="84"/>
        <item x="85"/>
        <item x="86"/>
        <item x="72"/>
        <item x="82"/>
        <item x="87"/>
        <item x="89"/>
        <item x="90"/>
        <item x="91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showAll="0"/>
    <pivotField numFmtId="164" showAll="0"/>
    <pivotField dataField="1" numFmtId="164" showAll="0"/>
  </pivotFields>
  <rowFields count="2">
    <field x="0"/>
    <field x="4"/>
  </rowFields>
  <rowItems count="137">
    <i>
      <x/>
    </i>
    <i r="1">
      <x/>
    </i>
    <i r="1">
      <x v="1"/>
    </i>
    <i r="1">
      <x v="4"/>
    </i>
    <i r="1">
      <x v="5"/>
    </i>
    <i r="1">
      <x v="7"/>
    </i>
    <i r="1">
      <x v="15"/>
    </i>
    <i r="1">
      <x v="23"/>
    </i>
    <i r="1">
      <x v="25"/>
    </i>
    <i r="1">
      <x v="57"/>
    </i>
    <i t="default">
      <x/>
    </i>
    <i>
      <x v="1"/>
    </i>
    <i r="1">
      <x v="2"/>
    </i>
    <i r="1">
      <x v="7"/>
    </i>
    <i r="1">
      <x v="10"/>
    </i>
    <i r="1">
      <x v="26"/>
    </i>
    <i r="1">
      <x v="57"/>
    </i>
    <i t="default">
      <x v="1"/>
    </i>
    <i>
      <x v="2"/>
    </i>
    <i r="1">
      <x v="3"/>
    </i>
    <i r="1">
      <x v="7"/>
    </i>
    <i r="1">
      <x v="14"/>
    </i>
    <i r="1">
      <x v="17"/>
    </i>
    <i r="1">
      <x v="18"/>
    </i>
    <i r="1">
      <x v="19"/>
    </i>
    <i r="1">
      <x v="20"/>
    </i>
    <i r="1">
      <x v="21"/>
    </i>
    <i r="1">
      <x v="24"/>
    </i>
    <i r="1">
      <x v="27"/>
    </i>
    <i r="1">
      <x v="30"/>
    </i>
    <i r="1">
      <x v="35"/>
    </i>
    <i r="1">
      <x v="39"/>
    </i>
    <i r="1">
      <x v="40"/>
    </i>
    <i r="1">
      <x v="43"/>
    </i>
    <i r="1">
      <x v="44"/>
    </i>
    <i r="1">
      <x v="45"/>
    </i>
    <i r="1">
      <x v="47"/>
    </i>
    <i r="1">
      <x v="49"/>
    </i>
    <i r="1">
      <x v="52"/>
    </i>
    <i r="1">
      <x v="57"/>
    </i>
    <i t="default">
      <x v="2"/>
    </i>
    <i>
      <x v="3"/>
    </i>
    <i r="1">
      <x v="7"/>
    </i>
    <i r="1">
      <x v="11"/>
    </i>
    <i r="1">
      <x v="15"/>
    </i>
    <i r="1">
      <x v="26"/>
    </i>
    <i r="1">
      <x v="27"/>
    </i>
    <i r="1">
      <x v="28"/>
    </i>
    <i r="1">
      <x v="29"/>
    </i>
    <i r="1">
      <x v="43"/>
    </i>
    <i t="default">
      <x v="3"/>
    </i>
    <i>
      <x v="4"/>
    </i>
    <i r="1">
      <x v="3"/>
    </i>
    <i r="1">
      <x v="6"/>
    </i>
    <i r="1">
      <x v="7"/>
    </i>
    <i r="1">
      <x v="8"/>
    </i>
    <i r="1">
      <x v="9"/>
    </i>
    <i r="1">
      <x v="12"/>
    </i>
    <i r="1">
      <x v="13"/>
    </i>
    <i r="1">
      <x v="14"/>
    </i>
    <i r="1">
      <x v="16"/>
    </i>
    <i r="1">
      <x v="17"/>
    </i>
    <i r="1">
      <x v="18"/>
    </i>
    <i r="1">
      <x v="21"/>
    </i>
    <i r="1">
      <x v="22"/>
    </i>
    <i r="1">
      <x v="24"/>
    </i>
    <i r="1">
      <x v="26"/>
    </i>
    <i r="1">
      <x v="30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8"/>
    </i>
    <i r="1">
      <x v="39"/>
    </i>
    <i r="1">
      <x v="41"/>
    </i>
    <i r="1">
      <x v="42"/>
    </i>
    <i r="1">
      <x v="43"/>
    </i>
    <i r="1">
      <x v="44"/>
    </i>
    <i r="1">
      <x v="46"/>
    </i>
    <i r="1">
      <x v="48"/>
    </i>
    <i r="1">
      <x v="50"/>
    </i>
    <i r="1">
      <x v="51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t="default">
      <x v="4"/>
    </i>
    <i t="grand">
      <x/>
    </i>
  </rowItems>
  <colItems count="1">
    <i/>
  </colItems>
  <dataFields count="1">
    <dataField name="Sum of Open Balance" fld="7" baseField="0" baseItem="0"/>
  </dataFields>
  <formats count="7">
    <format dxfId="6">
      <pivotArea outline="0" collapsedLevelsAreSubtotals="1" fieldPosition="0"/>
    </format>
    <format dxfId="5">
      <pivotArea dataOnly="0" labelOnly="1" outline="0" axis="axisValues" fieldPosition="0"/>
    </format>
    <format dxfId="4">
      <pivotArea collapsedLevelsAreSubtotals="1" fieldPosition="0">
        <references count="1">
          <reference field="0" count="1" defaultSubtotal="1">
            <x v="0"/>
          </reference>
        </references>
      </pivotArea>
    </format>
    <format dxfId="3">
      <pivotArea collapsedLevelsAreSubtotals="1" fieldPosition="0">
        <references count="1">
          <reference field="0" count="1" defaultSubtotal="1">
            <x v="1"/>
          </reference>
        </references>
      </pivotArea>
    </format>
    <format dxfId="2">
      <pivotArea collapsedLevelsAreSubtotals="1" fieldPosition="0">
        <references count="1">
          <reference field="0" count="1" defaultSubtotal="1">
            <x v="2"/>
          </reference>
        </references>
      </pivotArea>
    </format>
    <format dxfId="1">
      <pivotArea collapsedLevelsAreSubtotals="1" fieldPosition="0">
        <references count="1">
          <reference field="0" count="1" defaultSubtotal="1">
            <x v="3"/>
          </reference>
        </references>
      </pivotArea>
    </format>
    <format dxfId="0">
      <pivotArea collapsedLevelsAreSubtotals="1" fieldPosition="0">
        <references count="1">
          <reference field="0" count="1" defaultSubtotal="1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workbookViewId="0">
      <selection activeCell="G14" sqref="G14"/>
    </sheetView>
  </sheetViews>
  <sheetFormatPr defaultRowHeight="14"/>
  <cols>
    <col min="1" max="1" width="1.25" customWidth="1"/>
    <col min="2" max="2" width="32.9140625" bestFit="1" customWidth="1"/>
    <col min="3" max="3" width="18.6640625" bestFit="1" customWidth="1"/>
    <col min="4" max="5" width="10" bestFit="1" customWidth="1"/>
    <col min="6" max="6" width="8.6640625" bestFit="1" customWidth="1"/>
    <col min="7" max="7" width="8.9140625" bestFit="1" customWidth="1"/>
    <col min="8" max="8" width="10.58203125" bestFit="1" customWidth="1"/>
  </cols>
  <sheetData>
    <row r="1" spans="2:8">
      <c r="B1" s="18" t="s">
        <v>81</v>
      </c>
    </row>
    <row r="2" spans="2:8">
      <c r="B2" s="2" t="s">
        <v>20</v>
      </c>
      <c r="C2" s="16" t="s">
        <v>73</v>
      </c>
      <c r="D2" s="11"/>
      <c r="E2" s="11"/>
      <c r="F2" s="11"/>
      <c r="G2" s="11"/>
      <c r="H2" s="11"/>
    </row>
    <row r="3" spans="2:8">
      <c r="B3" s="2" t="s">
        <v>16</v>
      </c>
      <c r="C3" s="11" t="s">
        <v>60</v>
      </c>
      <c r="D3" s="11" t="s">
        <v>21</v>
      </c>
      <c r="E3" s="11" t="s">
        <v>22</v>
      </c>
      <c r="F3" s="11" t="s">
        <v>18</v>
      </c>
      <c r="G3" s="11" t="s">
        <v>68</v>
      </c>
      <c r="H3" s="11" t="s">
        <v>17</v>
      </c>
    </row>
    <row r="4" spans="2:8">
      <c r="B4" s="3" t="s">
        <v>69</v>
      </c>
      <c r="C4" s="19">
        <v>3246.88</v>
      </c>
      <c r="D4" s="19">
        <v>2703.5</v>
      </c>
      <c r="E4" s="19">
        <v>269</v>
      </c>
      <c r="F4" s="19"/>
      <c r="G4" s="19">
        <v>43309</v>
      </c>
      <c r="H4" s="19">
        <v>49528.38</v>
      </c>
    </row>
    <row r="5" spans="2:8">
      <c r="B5" s="3" t="s">
        <v>70</v>
      </c>
      <c r="C5" s="19"/>
      <c r="D5" s="19"/>
      <c r="E5" s="19"/>
      <c r="F5" s="19"/>
      <c r="G5" s="19">
        <v>220205.86000000007</v>
      </c>
      <c r="H5" s="19">
        <v>220205.86000000007</v>
      </c>
    </row>
    <row r="6" spans="2:8">
      <c r="B6" s="3" t="s">
        <v>71</v>
      </c>
      <c r="C6" s="19">
        <v>-81.98</v>
      </c>
      <c r="D6" s="19">
        <v>-1850.54</v>
      </c>
      <c r="E6" s="19"/>
      <c r="F6" s="19">
        <v>-36.590000000000003</v>
      </c>
      <c r="G6" s="19"/>
      <c r="H6" s="19">
        <v>-1969.11</v>
      </c>
    </row>
    <row r="7" spans="2:8">
      <c r="B7" s="3" t="s">
        <v>72</v>
      </c>
      <c r="C7" s="19">
        <v>67711.209999999992</v>
      </c>
      <c r="D7" s="19">
        <v>32603.489999999998</v>
      </c>
      <c r="E7" s="19">
        <v>27410.43</v>
      </c>
      <c r="F7" s="19">
        <v>13885.41</v>
      </c>
      <c r="G7" s="19"/>
      <c r="H7" s="19">
        <v>141610.53999999998</v>
      </c>
    </row>
    <row r="8" spans="2:8">
      <c r="B8" s="3" t="s">
        <v>17</v>
      </c>
      <c r="C8" s="19">
        <v>70876.109999999986</v>
      </c>
      <c r="D8" s="19">
        <v>33456.449999999997</v>
      </c>
      <c r="E8" s="19">
        <v>27679.43</v>
      </c>
      <c r="F8" s="19">
        <v>13848.82</v>
      </c>
      <c r="G8" s="19">
        <v>263514.8600000001</v>
      </c>
      <c r="H8" s="19">
        <v>409375.67000000004</v>
      </c>
    </row>
    <row r="9" spans="2:8">
      <c r="B9" s="3"/>
      <c r="C9" s="15"/>
    </row>
    <row r="10" spans="2:8">
      <c r="B10" s="10" t="s">
        <v>74</v>
      </c>
      <c r="C10" s="17">
        <f>H4/H8</f>
        <v>0.12098515771589453</v>
      </c>
    </row>
    <row r="11" spans="2:8">
      <c r="B11" s="10" t="s">
        <v>75</v>
      </c>
      <c r="C11" s="17">
        <f>H5/H8</f>
        <v>0.53790656391475355</v>
      </c>
    </row>
    <row r="12" spans="2:8">
      <c r="B12" s="10" t="s">
        <v>76</v>
      </c>
      <c r="C12" s="17">
        <f>H7/H8</f>
        <v>0.3459183101917121</v>
      </c>
    </row>
    <row r="13" spans="2:8">
      <c r="B13" s="10" t="s">
        <v>77</v>
      </c>
      <c r="C13" s="17">
        <f>C26/H8</f>
        <v>0.47439287244403167</v>
      </c>
    </row>
    <row r="15" spans="2:8">
      <c r="B15" s="2" t="s">
        <v>16</v>
      </c>
      <c r="C15" t="s">
        <v>20</v>
      </c>
      <c r="D15" s="14" t="s">
        <v>78</v>
      </c>
    </row>
    <row r="16" spans="2:8">
      <c r="B16" s="3" t="s">
        <v>13</v>
      </c>
      <c r="C16" s="13">
        <v>11474.38</v>
      </c>
      <c r="D16" s="17">
        <f>C16/$H$8</f>
        <v>2.8028973973954041E-2</v>
      </c>
    </row>
    <row r="17" spans="2:4">
      <c r="B17" s="3" t="s">
        <v>65</v>
      </c>
      <c r="C17" s="13">
        <v>18700.150000000001</v>
      </c>
      <c r="D17" s="17">
        <f t="shared" ref="D17:D25" si="0">C17/$H$8</f>
        <v>4.5679680963941996E-2</v>
      </c>
    </row>
    <row r="18" spans="2:4">
      <c r="B18" s="3" t="s">
        <v>14</v>
      </c>
      <c r="C18" s="13">
        <v>11610.75</v>
      </c>
      <c r="D18" s="17">
        <f t="shared" si="0"/>
        <v>2.8362090986012917E-2</v>
      </c>
    </row>
    <row r="19" spans="2:4">
      <c r="B19" s="3" t="s">
        <v>49</v>
      </c>
      <c r="C19" s="13">
        <v>19730.72</v>
      </c>
      <c r="D19" s="17">
        <f t="shared" si="0"/>
        <v>4.8197099744594005E-2</v>
      </c>
    </row>
    <row r="20" spans="2:4">
      <c r="B20" s="3" t="s">
        <v>66</v>
      </c>
      <c r="C20" s="13">
        <v>21577.51</v>
      </c>
      <c r="D20" s="17">
        <f t="shared" si="0"/>
        <v>5.2708335109411843E-2</v>
      </c>
    </row>
    <row r="21" spans="2:4">
      <c r="B21" s="3" t="s">
        <v>51</v>
      </c>
      <c r="C21" s="13">
        <v>11610.75</v>
      </c>
      <c r="D21" s="17">
        <f t="shared" si="0"/>
        <v>2.8362090986012917E-2</v>
      </c>
    </row>
    <row r="22" spans="2:4">
      <c r="B22" s="3" t="s">
        <v>59</v>
      </c>
      <c r="C22" s="13">
        <v>48102.630000000005</v>
      </c>
      <c r="D22" s="17">
        <f t="shared" si="0"/>
        <v>0.11750241532429126</v>
      </c>
    </row>
    <row r="23" spans="2:4">
      <c r="B23" s="3" t="s">
        <v>24</v>
      </c>
      <c r="C23" s="13">
        <v>14209.05</v>
      </c>
      <c r="D23" s="17">
        <f t="shared" si="0"/>
        <v>3.4709072964692791E-2</v>
      </c>
    </row>
    <row r="24" spans="2:4">
      <c r="B24" s="3" t="s">
        <v>63</v>
      </c>
      <c r="C24" s="13">
        <v>20534.760000000002</v>
      </c>
      <c r="D24" s="17">
        <f t="shared" si="0"/>
        <v>5.0161163705698487E-2</v>
      </c>
    </row>
    <row r="25" spans="2:4">
      <c r="B25" s="3" t="s">
        <v>64</v>
      </c>
      <c r="C25" s="13">
        <v>16654.2</v>
      </c>
      <c r="D25" s="17">
        <f t="shared" si="0"/>
        <v>4.0681948685421389E-2</v>
      </c>
    </row>
    <row r="26" spans="2:4">
      <c r="B26" s="3" t="s">
        <v>17</v>
      </c>
      <c r="C26" s="13">
        <v>194204.90000000002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1"/>
  <sheetViews>
    <sheetView tabSelected="1" zoomScale="85" zoomScaleNormal="85" workbookViewId="0">
      <pane ySplit="1" topLeftCell="A2" activePane="bottomLeft" state="frozen"/>
      <selection pane="bottomLeft" activeCell="C135" sqref="C135"/>
    </sheetView>
  </sheetViews>
  <sheetFormatPr defaultRowHeight="14"/>
  <cols>
    <col min="1" max="1" width="66.75" customWidth="1"/>
    <col min="2" max="2" width="21.83203125" style="5" bestFit="1" customWidth="1"/>
    <col min="3" max="3" width="62.33203125" customWidth="1"/>
    <col min="4" max="4" width="22.58203125" bestFit="1" customWidth="1"/>
  </cols>
  <sheetData>
    <row r="1" spans="1:3">
      <c r="A1" s="2" t="s">
        <v>16</v>
      </c>
      <c r="B1" s="6" t="s">
        <v>20</v>
      </c>
      <c r="C1" s="7"/>
    </row>
    <row r="2" spans="1:3">
      <c r="A2" s="3" t="s">
        <v>18</v>
      </c>
      <c r="B2" s="6"/>
    </row>
    <row r="3" spans="1:3">
      <c r="A3" s="4" t="s">
        <v>11</v>
      </c>
      <c r="B3" s="6">
        <v>1324.38</v>
      </c>
      <c r="C3" s="22"/>
    </row>
    <row r="4" spans="1:3">
      <c r="A4" s="4" t="s">
        <v>9</v>
      </c>
      <c r="B4" s="6">
        <v>931</v>
      </c>
      <c r="C4" s="8"/>
    </row>
    <row r="5" spans="1:3">
      <c r="A5" s="4" t="s">
        <v>10</v>
      </c>
      <c r="B5" s="6">
        <v>1271</v>
      </c>
      <c r="C5" s="8"/>
    </row>
    <row r="6" spans="1:3">
      <c r="A6" s="4" t="s">
        <v>8</v>
      </c>
      <c r="B6" s="6">
        <v>1700</v>
      </c>
      <c r="C6" s="8"/>
    </row>
    <row r="7" spans="1:3">
      <c r="A7" s="4" t="s">
        <v>67</v>
      </c>
      <c r="B7" s="6">
        <v>12036.32</v>
      </c>
      <c r="C7" s="8"/>
    </row>
    <row r="8" spans="1:3">
      <c r="A8" s="4" t="s">
        <v>116</v>
      </c>
      <c r="B8" s="6">
        <v>524.62</v>
      </c>
      <c r="C8" s="8"/>
    </row>
    <row r="9" spans="1:3">
      <c r="A9" s="4" t="s">
        <v>419</v>
      </c>
      <c r="B9" s="6">
        <v>46</v>
      </c>
      <c r="C9" s="8"/>
    </row>
    <row r="10" spans="1:3">
      <c r="A10" s="4" t="s">
        <v>687</v>
      </c>
      <c r="B10" s="6">
        <v>4560.75</v>
      </c>
      <c r="C10" s="8"/>
    </row>
    <row r="11" spans="1:3">
      <c r="A11" s="4" t="s">
        <v>795</v>
      </c>
      <c r="B11" s="6">
        <v>4512</v>
      </c>
      <c r="C11" s="8"/>
    </row>
    <row r="12" spans="1:3">
      <c r="A12" s="3" t="s">
        <v>52</v>
      </c>
      <c r="B12" s="20">
        <v>26906.07</v>
      </c>
      <c r="C12" s="8"/>
    </row>
    <row r="13" spans="1:3">
      <c r="A13" s="3" t="s">
        <v>22</v>
      </c>
      <c r="B13" s="6"/>
      <c r="C13" s="8"/>
    </row>
    <row r="14" spans="1:3">
      <c r="A14" s="4" t="s">
        <v>14</v>
      </c>
      <c r="B14" s="6">
        <v>5330.5</v>
      </c>
      <c r="C14" s="8"/>
    </row>
    <row r="15" spans="1:3">
      <c r="A15" s="4" t="s">
        <v>67</v>
      </c>
      <c r="B15" s="6">
        <v>2000</v>
      </c>
      <c r="C15" s="8"/>
    </row>
    <row r="16" spans="1:3">
      <c r="A16" s="4" t="s">
        <v>84</v>
      </c>
      <c r="B16" s="6">
        <v>12297.880000000001</v>
      </c>
      <c r="C16" s="8"/>
    </row>
    <row r="17" spans="1:3">
      <c r="A17" s="4" t="s">
        <v>690</v>
      </c>
      <c r="B17" s="6">
        <v>1075.5899999999999</v>
      </c>
      <c r="C17" s="8"/>
    </row>
    <row r="18" spans="1:3">
      <c r="A18" s="4" t="s">
        <v>795</v>
      </c>
      <c r="B18" s="6">
        <v>500</v>
      </c>
      <c r="C18" s="8"/>
    </row>
    <row r="19" spans="1:3">
      <c r="A19" s="3" t="s">
        <v>53</v>
      </c>
      <c r="B19" s="20">
        <v>21203.97</v>
      </c>
      <c r="C19" s="8"/>
    </row>
    <row r="20" spans="1:3">
      <c r="A20" s="3" t="s">
        <v>19</v>
      </c>
      <c r="B20" s="6"/>
      <c r="C20" s="8"/>
    </row>
    <row r="21" spans="1:3">
      <c r="A21" s="4" t="s">
        <v>49</v>
      </c>
      <c r="B21" s="6">
        <v>11435.25</v>
      </c>
      <c r="C21" s="8"/>
    </row>
    <row r="22" spans="1:3">
      <c r="A22" s="4" t="s">
        <v>67</v>
      </c>
      <c r="B22" s="6">
        <v>500</v>
      </c>
      <c r="C22" s="8"/>
    </row>
    <row r="23" spans="1:3">
      <c r="A23" s="4" t="s">
        <v>115</v>
      </c>
      <c r="B23" s="6">
        <v>1375.75</v>
      </c>
      <c r="C23" s="8"/>
    </row>
    <row r="24" spans="1:3">
      <c r="A24" s="4" t="s">
        <v>179</v>
      </c>
      <c r="B24" s="6">
        <v>8716.56</v>
      </c>
      <c r="C24" s="8"/>
    </row>
    <row r="25" spans="1:3">
      <c r="A25" s="4" t="s">
        <v>679</v>
      </c>
      <c r="B25" s="6">
        <v>2251.5</v>
      </c>
      <c r="C25" s="8"/>
    </row>
    <row r="26" spans="1:3">
      <c r="A26" s="4" t="s">
        <v>65</v>
      </c>
      <c r="B26" s="6">
        <v>2510.06</v>
      </c>
      <c r="C26" s="8"/>
    </row>
    <row r="27" spans="1:3">
      <c r="A27" s="4" t="s">
        <v>563</v>
      </c>
      <c r="B27" s="6">
        <v>5371.38</v>
      </c>
      <c r="C27" s="8"/>
    </row>
    <row r="28" spans="1:3">
      <c r="A28" s="4" t="s">
        <v>66</v>
      </c>
      <c r="B28" s="6">
        <v>1.2</v>
      </c>
      <c r="C28" s="8"/>
    </row>
    <row r="29" spans="1:3">
      <c r="A29" s="4" t="s">
        <v>685</v>
      </c>
      <c r="B29" s="6">
        <v>5787.76</v>
      </c>
      <c r="C29" s="8"/>
    </row>
    <row r="30" spans="1:3">
      <c r="A30" s="4" t="s">
        <v>691</v>
      </c>
      <c r="B30" s="6">
        <v>2443.25</v>
      </c>
      <c r="C30" s="8"/>
    </row>
    <row r="31" spans="1:3">
      <c r="A31" s="4" t="s">
        <v>719</v>
      </c>
      <c r="B31" s="6">
        <v>1320.25</v>
      </c>
      <c r="C31" s="8"/>
    </row>
    <row r="32" spans="1:3">
      <c r="A32" s="4" t="s">
        <v>119</v>
      </c>
      <c r="B32" s="6">
        <v>3251.5</v>
      </c>
      <c r="C32" s="8"/>
    </row>
    <row r="33" spans="1:3">
      <c r="A33" s="4" t="s">
        <v>96</v>
      </c>
      <c r="B33" s="6">
        <v>4445.95</v>
      </c>
      <c r="C33" s="8"/>
    </row>
    <row r="34" spans="1:3">
      <c r="A34" s="4" t="s">
        <v>133</v>
      </c>
      <c r="B34" s="6">
        <v>2347.7600000000002</v>
      </c>
      <c r="C34" s="8"/>
    </row>
    <row r="35" spans="1:3">
      <c r="A35" s="4" t="s">
        <v>103</v>
      </c>
      <c r="B35" s="6">
        <v>8314.69</v>
      </c>
      <c r="C35" s="35"/>
    </row>
    <row r="36" spans="1:3">
      <c r="A36" s="4" t="s">
        <v>93</v>
      </c>
      <c r="B36" s="6">
        <v>1361.28</v>
      </c>
      <c r="C36" s="8"/>
    </row>
    <row r="37" spans="1:3">
      <c r="A37" s="4" t="s">
        <v>238</v>
      </c>
      <c r="B37" s="6">
        <v>2820.4</v>
      </c>
      <c r="C37" s="8"/>
    </row>
    <row r="38" spans="1:3">
      <c r="A38" s="4" t="s">
        <v>752</v>
      </c>
      <c r="B38" s="6">
        <v>825.75</v>
      </c>
      <c r="C38" s="8"/>
    </row>
    <row r="39" spans="1:3">
      <c r="A39" s="4" t="s">
        <v>90</v>
      </c>
      <c r="B39" s="6">
        <v>2440.5</v>
      </c>
      <c r="C39" s="8"/>
    </row>
    <row r="40" spans="1:3">
      <c r="A40" s="4" t="s">
        <v>64</v>
      </c>
      <c r="B40" s="6">
        <v>7615</v>
      </c>
      <c r="C40" s="35"/>
    </row>
    <row r="41" spans="1:3">
      <c r="A41" s="4" t="s">
        <v>795</v>
      </c>
      <c r="B41" s="6">
        <v>2577.75</v>
      </c>
      <c r="C41" s="8"/>
    </row>
    <row r="42" spans="1:3">
      <c r="A42" s="3" t="s">
        <v>54</v>
      </c>
      <c r="B42" s="20">
        <v>77713.540000000008</v>
      </c>
      <c r="C42" s="8"/>
    </row>
    <row r="43" spans="1:3">
      <c r="A43" s="3" t="s">
        <v>21</v>
      </c>
      <c r="B43" s="6"/>
      <c r="C43" s="34"/>
    </row>
    <row r="44" spans="1:3">
      <c r="A44" s="4" t="s">
        <v>67</v>
      </c>
      <c r="B44" s="6">
        <v>500</v>
      </c>
      <c r="C44" s="8"/>
    </row>
    <row r="45" spans="1:3">
      <c r="A45" s="4" t="s">
        <v>82</v>
      </c>
      <c r="B45" s="6">
        <v>1051.48</v>
      </c>
      <c r="C45" s="35"/>
    </row>
    <row r="46" spans="1:3">
      <c r="A46" s="4" t="s">
        <v>116</v>
      </c>
      <c r="B46" s="6">
        <v>2277.2800000000002</v>
      </c>
      <c r="C46" s="8"/>
    </row>
    <row r="47" spans="1:3">
      <c r="A47" s="4" t="s">
        <v>690</v>
      </c>
      <c r="B47" s="6">
        <v>1686.54</v>
      </c>
      <c r="C47" s="8"/>
    </row>
    <row r="48" spans="1:3">
      <c r="A48" s="4" t="s">
        <v>691</v>
      </c>
      <c r="B48" s="6">
        <v>1200</v>
      </c>
      <c r="C48" s="8"/>
    </row>
    <row r="49" spans="1:3">
      <c r="A49" s="4" t="s">
        <v>513</v>
      </c>
      <c r="B49" s="6">
        <v>975.75</v>
      </c>
      <c r="C49" s="8"/>
    </row>
    <row r="50" spans="1:3">
      <c r="A50" s="4" t="s">
        <v>717</v>
      </c>
      <c r="B50" s="6">
        <v>1425</v>
      </c>
      <c r="C50" s="8"/>
    </row>
    <row r="51" spans="1:3">
      <c r="A51" s="4" t="s">
        <v>103</v>
      </c>
      <c r="B51" s="6">
        <v>12925.96</v>
      </c>
      <c r="C51" s="35"/>
    </row>
    <row r="52" spans="1:3">
      <c r="A52" s="3" t="s">
        <v>55</v>
      </c>
      <c r="B52" s="20">
        <v>22042.01</v>
      </c>
      <c r="C52" s="8"/>
    </row>
    <row r="53" spans="1:3">
      <c r="A53" s="3" t="s">
        <v>68</v>
      </c>
      <c r="B53" s="6"/>
      <c r="C53" s="8"/>
    </row>
    <row r="54" spans="1:3">
      <c r="A54" s="4" t="s">
        <v>49</v>
      </c>
      <c r="B54" s="6">
        <v>9921.52</v>
      </c>
      <c r="C54" s="33"/>
    </row>
    <row r="55" spans="1:3">
      <c r="A55" s="4" t="s">
        <v>63</v>
      </c>
      <c r="B55" s="6">
        <v>7743.25</v>
      </c>
      <c r="C55" s="33"/>
    </row>
    <row r="56" spans="1:3">
      <c r="A56" s="4" t="s">
        <v>67</v>
      </c>
      <c r="B56" s="6">
        <v>500</v>
      </c>
      <c r="C56" s="8"/>
    </row>
    <row r="57" spans="1:3">
      <c r="A57" s="4" t="s">
        <v>80</v>
      </c>
      <c r="B57" s="6">
        <v>3377.25</v>
      </c>
      <c r="C57" s="8"/>
    </row>
    <row r="58" spans="1:3">
      <c r="A58" s="4" t="s">
        <v>83</v>
      </c>
      <c r="B58" s="6">
        <v>19213.05</v>
      </c>
      <c r="C58" s="8"/>
    </row>
    <row r="59" spans="1:3">
      <c r="A59" s="4" t="s">
        <v>92</v>
      </c>
      <c r="B59" s="6">
        <v>23666.75</v>
      </c>
      <c r="C59" s="8"/>
    </row>
    <row r="60" spans="1:3">
      <c r="A60" s="4" t="s">
        <v>94</v>
      </c>
      <c r="B60" s="6">
        <v>7427.25</v>
      </c>
      <c r="C60" s="33"/>
    </row>
    <row r="61" spans="1:3">
      <c r="A61" s="4" t="s">
        <v>115</v>
      </c>
      <c r="B61" s="6">
        <v>13757.5</v>
      </c>
      <c r="C61" s="8"/>
    </row>
    <row r="62" spans="1:3">
      <c r="A62" s="4" t="s">
        <v>281</v>
      </c>
      <c r="B62" s="6">
        <v>13070.91</v>
      </c>
      <c r="C62" s="8"/>
    </row>
    <row r="63" spans="1:3">
      <c r="A63" s="4" t="s">
        <v>179</v>
      </c>
      <c r="B63" s="6">
        <v>21339.66</v>
      </c>
      <c r="C63" s="33"/>
    </row>
    <row r="64" spans="1:3">
      <c r="A64" s="4" t="s">
        <v>679</v>
      </c>
      <c r="B64" s="6">
        <v>7764.5</v>
      </c>
      <c r="C64" s="8"/>
    </row>
    <row r="65" spans="1:3">
      <c r="A65" s="4" t="s">
        <v>66</v>
      </c>
      <c r="B65" s="6">
        <v>1743.24</v>
      </c>
      <c r="C65" s="8"/>
    </row>
    <row r="66" spans="1:3">
      <c r="A66" s="4" t="s">
        <v>680</v>
      </c>
      <c r="B66" s="6">
        <v>8861</v>
      </c>
      <c r="C66" s="33"/>
    </row>
    <row r="67" spans="1:3">
      <c r="A67" s="4" t="s">
        <v>685</v>
      </c>
      <c r="B67" s="6">
        <v>2348.75</v>
      </c>
      <c r="C67" s="33"/>
    </row>
    <row r="68" spans="1:3">
      <c r="A68" s="4" t="s">
        <v>690</v>
      </c>
      <c r="B68" s="6">
        <v>772.66</v>
      </c>
      <c r="C68" s="33"/>
    </row>
    <row r="69" spans="1:3">
      <c r="A69" s="4" t="s">
        <v>719</v>
      </c>
      <c r="B69" s="6">
        <v>6090.5</v>
      </c>
      <c r="C69" s="33"/>
    </row>
    <row r="70" spans="1:3">
      <c r="A70" s="4" t="s">
        <v>720</v>
      </c>
      <c r="B70" s="6">
        <v>4196.63</v>
      </c>
      <c r="C70" s="33"/>
    </row>
    <row r="71" spans="1:3">
      <c r="A71" s="4" t="s">
        <v>724</v>
      </c>
      <c r="B71" s="6">
        <v>2330.25</v>
      </c>
      <c r="C71" s="33"/>
    </row>
    <row r="72" spans="1:3">
      <c r="A72" s="4" t="s">
        <v>346</v>
      </c>
      <c r="B72" s="6">
        <v>6738</v>
      </c>
      <c r="C72" s="33"/>
    </row>
    <row r="73" spans="1:3">
      <c r="A73" s="4" t="s">
        <v>725</v>
      </c>
      <c r="B73" s="6">
        <v>3557.25</v>
      </c>
      <c r="C73" s="8"/>
    </row>
    <row r="74" spans="1:3">
      <c r="A74" s="4" t="s">
        <v>589</v>
      </c>
      <c r="B74" s="6">
        <v>11815.08</v>
      </c>
      <c r="C74" s="8"/>
    </row>
    <row r="75" spans="1:3">
      <c r="A75" s="4" t="s">
        <v>732</v>
      </c>
      <c r="B75" s="6">
        <v>5908.13</v>
      </c>
      <c r="C75" s="8"/>
    </row>
    <row r="76" spans="1:3">
      <c r="A76" s="4" t="s">
        <v>735</v>
      </c>
      <c r="B76" s="6">
        <v>2526</v>
      </c>
      <c r="C76" s="8"/>
    </row>
    <row r="77" spans="1:3">
      <c r="A77" s="4" t="s">
        <v>96</v>
      </c>
      <c r="B77" s="6">
        <v>15284.55</v>
      </c>
      <c r="C77" s="8"/>
    </row>
    <row r="78" spans="1:3">
      <c r="A78" s="4" t="s">
        <v>650</v>
      </c>
      <c r="B78" s="6">
        <v>13093</v>
      </c>
      <c r="C78" s="35"/>
    </row>
    <row r="79" spans="1:3">
      <c r="A79" s="4" t="s">
        <v>744</v>
      </c>
      <c r="B79" s="6">
        <v>6615</v>
      </c>
      <c r="C79" s="8"/>
    </row>
    <row r="80" spans="1:3">
      <c r="A80" s="4" t="s">
        <v>103</v>
      </c>
      <c r="B80" s="6">
        <v>4930.92</v>
      </c>
      <c r="C80" s="35"/>
    </row>
    <row r="81" spans="1:3">
      <c r="A81" s="4" t="s">
        <v>93</v>
      </c>
      <c r="B81" s="6">
        <v>9379.07</v>
      </c>
      <c r="C81" s="8"/>
    </row>
    <row r="82" spans="1:3">
      <c r="A82" s="4" t="s">
        <v>62</v>
      </c>
      <c r="B82" s="6">
        <v>9290.5</v>
      </c>
      <c r="C82" s="33"/>
    </row>
    <row r="83" spans="1:3">
      <c r="A83" s="4" t="s">
        <v>666</v>
      </c>
      <c r="B83" s="6">
        <v>706.28</v>
      </c>
      <c r="C83" s="8"/>
    </row>
    <row r="84" spans="1:3">
      <c r="A84" s="4" t="s">
        <v>758</v>
      </c>
      <c r="B84" s="6">
        <v>7540.5</v>
      </c>
      <c r="C84" s="33"/>
    </row>
    <row r="85" spans="1:3">
      <c r="A85" s="4" t="s">
        <v>34</v>
      </c>
      <c r="B85" s="6">
        <v>67003.22</v>
      </c>
      <c r="C85" s="35"/>
    </row>
    <row r="86" spans="1:3">
      <c r="A86" s="4" t="s">
        <v>774</v>
      </c>
      <c r="B86" s="6">
        <v>21146.010000000002</v>
      </c>
      <c r="C86" s="8"/>
    </row>
    <row r="87" spans="1:3">
      <c r="A87" s="4" t="s">
        <v>107</v>
      </c>
      <c r="B87" s="6">
        <v>4165.7299999999996</v>
      </c>
      <c r="C87" s="8"/>
    </row>
    <row r="88" spans="1:3">
      <c r="A88" s="4" t="s">
        <v>114</v>
      </c>
      <c r="B88" s="6">
        <v>3775.75</v>
      </c>
      <c r="C88" s="33"/>
    </row>
    <row r="89" spans="1:3">
      <c r="A89" s="4" t="s">
        <v>86</v>
      </c>
      <c r="B89" s="6">
        <v>736.5</v>
      </c>
      <c r="C89" s="33"/>
    </row>
    <row r="90" spans="1:3">
      <c r="A90" s="4" t="s">
        <v>795</v>
      </c>
      <c r="B90" s="6">
        <v>510.33</v>
      </c>
      <c r="C90" s="8"/>
    </row>
    <row r="91" spans="1:3">
      <c r="A91" s="4" t="s">
        <v>407</v>
      </c>
      <c r="B91" s="6">
        <v>376.03</v>
      </c>
      <c r="C91" s="33"/>
    </row>
    <row r="92" spans="1:3">
      <c r="A92" s="4" t="s">
        <v>260</v>
      </c>
      <c r="B92" s="6">
        <v>10206</v>
      </c>
      <c r="C92" s="33"/>
    </row>
    <row r="93" spans="1:3">
      <c r="A93" s="4" t="s">
        <v>804</v>
      </c>
      <c r="B93" s="6">
        <v>2446</v>
      </c>
      <c r="C93" s="33"/>
    </row>
    <row r="94" spans="1:3">
      <c r="A94" s="4" t="s">
        <v>532</v>
      </c>
      <c r="B94" s="6">
        <v>4699.47</v>
      </c>
      <c r="C94" s="8"/>
    </row>
    <row r="95" spans="1:3">
      <c r="A95" s="4" t="s">
        <v>343</v>
      </c>
      <c r="B95" s="6">
        <v>1221.6300000000001</v>
      </c>
      <c r="C95" s="33"/>
    </row>
    <row r="96" spans="1:3">
      <c r="A96" s="4" t="s">
        <v>823</v>
      </c>
      <c r="B96" s="6">
        <v>2825.64</v>
      </c>
      <c r="C96" s="8"/>
    </row>
    <row r="97" spans="1:3">
      <c r="A97" s="4" t="s">
        <v>835</v>
      </c>
      <c r="B97" s="6">
        <v>3669</v>
      </c>
      <c r="C97" s="8"/>
    </row>
    <row r="98" spans="1:3">
      <c r="A98" s="4" t="s">
        <v>120</v>
      </c>
      <c r="B98" s="6">
        <v>7801</v>
      </c>
      <c r="C98" s="8"/>
    </row>
    <row r="99" spans="1:3">
      <c r="A99" s="4" t="s">
        <v>169</v>
      </c>
      <c r="B99" s="6">
        <v>3812.76</v>
      </c>
      <c r="C99" s="33"/>
    </row>
    <row r="100" spans="1:3">
      <c r="A100" s="4" t="s">
        <v>853</v>
      </c>
      <c r="B100" s="6">
        <v>3771</v>
      </c>
      <c r="C100" s="33"/>
    </row>
    <row r="101" spans="1:3">
      <c r="A101" s="4" t="s">
        <v>163</v>
      </c>
      <c r="B101" s="6">
        <v>1325.75</v>
      </c>
      <c r="C101" s="33"/>
    </row>
    <row r="102" spans="1:3">
      <c r="A102" s="4" t="s">
        <v>640</v>
      </c>
      <c r="B102" s="6">
        <v>2740.5</v>
      </c>
      <c r="C102" s="33"/>
    </row>
    <row r="103" spans="1:3">
      <c r="A103" s="4" t="s">
        <v>867</v>
      </c>
      <c r="B103" s="6">
        <v>1121.6300000000001</v>
      </c>
      <c r="C103" s="33"/>
    </row>
    <row r="104" spans="1:3">
      <c r="A104" s="4" t="s">
        <v>876</v>
      </c>
      <c r="B104" s="6">
        <v>2637.75</v>
      </c>
      <c r="C104" s="33"/>
    </row>
    <row r="105" spans="1:3">
      <c r="A105" s="4" t="s">
        <v>155</v>
      </c>
      <c r="B105" s="6">
        <v>1375.75</v>
      </c>
      <c r="C105" s="33"/>
    </row>
    <row r="106" spans="1:3">
      <c r="A106" s="4" t="s">
        <v>50</v>
      </c>
      <c r="B106" s="6">
        <v>569.61</v>
      </c>
      <c r="C106" s="33"/>
    </row>
    <row r="107" spans="1:3">
      <c r="A107" s="4" t="s">
        <v>85</v>
      </c>
      <c r="B107" s="6">
        <v>2236.8000000000002</v>
      </c>
      <c r="C107" s="8"/>
    </row>
    <row r="108" spans="1:3">
      <c r="A108" s="4" t="s">
        <v>110</v>
      </c>
      <c r="B108" s="6">
        <v>2916.33</v>
      </c>
      <c r="C108" s="33"/>
    </row>
    <row r="109" spans="1:3">
      <c r="A109" s="4" t="s">
        <v>108</v>
      </c>
      <c r="B109" s="6">
        <v>8230.25</v>
      </c>
      <c r="C109" s="33"/>
    </row>
    <row r="110" spans="1:3">
      <c r="A110" s="4" t="s">
        <v>307</v>
      </c>
      <c r="B110" s="6">
        <v>1675.75</v>
      </c>
      <c r="C110" s="35"/>
    </row>
    <row r="111" spans="1:3">
      <c r="A111" s="4" t="s">
        <v>433</v>
      </c>
      <c r="B111" s="6">
        <v>695.72</v>
      </c>
      <c r="C111" s="33"/>
    </row>
    <row r="112" spans="1:3">
      <c r="A112" s="4" t="s">
        <v>923</v>
      </c>
      <c r="B112" s="6">
        <v>2740.5</v>
      </c>
      <c r="C112" s="8"/>
    </row>
    <row r="113" spans="1:3">
      <c r="A113" s="4" t="s">
        <v>925</v>
      </c>
      <c r="B113" s="6">
        <v>1563</v>
      </c>
      <c r="C113" s="33"/>
    </row>
    <row r="114" spans="1:3">
      <c r="A114" s="4" t="s">
        <v>644</v>
      </c>
      <c r="B114" s="6">
        <v>7608.13</v>
      </c>
      <c r="C114" s="35"/>
    </row>
    <row r="115" spans="1:3">
      <c r="A115" s="4" t="s">
        <v>939</v>
      </c>
      <c r="B115" s="6">
        <v>1520.25</v>
      </c>
      <c r="C115" s="33"/>
    </row>
    <row r="116" spans="1:3">
      <c r="A116" s="4" t="s">
        <v>410</v>
      </c>
      <c r="B116" s="6">
        <v>2551.5</v>
      </c>
      <c r="C116" s="8"/>
    </row>
    <row r="117" spans="1:3">
      <c r="A117" s="4" t="s">
        <v>948</v>
      </c>
      <c r="B117" s="6">
        <v>1743.8</v>
      </c>
      <c r="C117" s="33"/>
    </row>
    <row r="118" spans="1:3">
      <c r="A118" s="4" t="s">
        <v>30</v>
      </c>
      <c r="B118" s="6">
        <v>2443.25</v>
      </c>
      <c r="C118" s="35"/>
    </row>
    <row r="119" spans="1:3">
      <c r="A119" s="4" t="s">
        <v>571</v>
      </c>
      <c r="B119" s="6">
        <v>1370.25</v>
      </c>
      <c r="C119" s="33"/>
    </row>
    <row r="120" spans="1:3">
      <c r="A120" s="4" t="s">
        <v>957</v>
      </c>
      <c r="B120" s="6">
        <v>883.8</v>
      </c>
      <c r="C120" s="33"/>
    </row>
    <row r="121" spans="1:3">
      <c r="A121" s="4" t="s">
        <v>349</v>
      </c>
      <c r="B121" s="6">
        <v>1430.52</v>
      </c>
      <c r="C121" s="8"/>
    </row>
    <row r="122" spans="1:3">
      <c r="A122" s="4" t="s">
        <v>226</v>
      </c>
      <c r="B122" s="6">
        <v>1430.52</v>
      </c>
      <c r="C122" s="8"/>
    </row>
    <row r="123" spans="1:3">
      <c r="A123" s="4" t="s">
        <v>61</v>
      </c>
      <c r="B123" s="6">
        <v>996.25</v>
      </c>
      <c r="C123" s="8"/>
    </row>
    <row r="124" spans="1:3">
      <c r="A124" s="4" t="s">
        <v>136</v>
      </c>
      <c r="B124" s="6">
        <v>17807.05</v>
      </c>
      <c r="C124" s="8"/>
    </row>
    <row r="125" spans="1:3">
      <c r="A125" s="4" t="s">
        <v>997</v>
      </c>
      <c r="B125" s="6">
        <v>2585.6</v>
      </c>
      <c r="C125" s="8"/>
    </row>
    <row r="126" spans="1:3">
      <c r="A126" s="4" t="s">
        <v>106</v>
      </c>
      <c r="B126" s="6">
        <v>686.52</v>
      </c>
      <c r="C126" s="8"/>
    </row>
    <row r="127" spans="1:3">
      <c r="A127" s="4" t="s">
        <v>1010</v>
      </c>
      <c r="B127" s="6">
        <v>12257.5</v>
      </c>
      <c r="C127" s="8"/>
    </row>
    <row r="128" spans="1:3">
      <c r="A128" s="4" t="s">
        <v>220</v>
      </c>
      <c r="B128" s="6">
        <v>3868.88</v>
      </c>
      <c r="C128" s="8"/>
    </row>
    <row r="129" spans="1:3">
      <c r="A129" s="4" t="s">
        <v>146</v>
      </c>
      <c r="B129" s="6">
        <v>3874.38</v>
      </c>
      <c r="C129" s="8"/>
    </row>
    <row r="130" spans="1:3">
      <c r="A130" s="4" t="s">
        <v>95</v>
      </c>
      <c r="B130" s="6">
        <v>3101.63</v>
      </c>
      <c r="C130" s="8"/>
    </row>
    <row r="131" spans="1:3">
      <c r="A131" s="4" t="s">
        <v>1022</v>
      </c>
      <c r="B131" s="6">
        <v>6211.5</v>
      </c>
      <c r="C131" s="8"/>
    </row>
    <row r="132" spans="1:3">
      <c r="A132" s="4" t="s">
        <v>118</v>
      </c>
      <c r="B132" s="6">
        <v>362.18</v>
      </c>
      <c r="C132" s="8"/>
    </row>
    <row r="133" spans="1:3">
      <c r="A133" s="4" t="s">
        <v>102</v>
      </c>
      <c r="B133" s="6">
        <v>949.52</v>
      </c>
      <c r="C133" s="8"/>
    </row>
    <row r="134" spans="1:3">
      <c r="A134" s="4" t="s">
        <v>1028</v>
      </c>
      <c r="B134" s="6">
        <v>2646</v>
      </c>
      <c r="C134" s="8"/>
    </row>
    <row r="135" spans="1:3">
      <c r="A135" s="4" t="s">
        <v>626</v>
      </c>
      <c r="B135" s="6">
        <v>658.17</v>
      </c>
      <c r="C135" s="8"/>
    </row>
    <row r="136" spans="1:3">
      <c r="A136" s="4" t="s">
        <v>661</v>
      </c>
      <c r="B136" s="6">
        <v>1520.25</v>
      </c>
      <c r="C136" s="8"/>
    </row>
    <row r="137" spans="1:3">
      <c r="A137" s="3" t="s">
        <v>79</v>
      </c>
      <c r="B137" s="21">
        <v>498011.81000000006</v>
      </c>
      <c r="C137" s="33"/>
    </row>
    <row r="138" spans="1:3">
      <c r="A138" s="3" t="s">
        <v>17</v>
      </c>
      <c r="B138" s="6">
        <v>645877.40000000014</v>
      </c>
      <c r="C138" s="8"/>
    </row>
    <row r="139" spans="1:3">
      <c r="B139"/>
      <c r="C139" s="33"/>
    </row>
    <row r="140" spans="1:3">
      <c r="B140"/>
      <c r="C140" s="33"/>
    </row>
    <row r="141" spans="1:3">
      <c r="B141"/>
      <c r="C141" s="33"/>
    </row>
    <row r="142" spans="1:3">
      <c r="B142"/>
      <c r="C142" s="33"/>
    </row>
    <row r="143" spans="1:3">
      <c r="B143"/>
      <c r="C143" s="33"/>
    </row>
    <row r="144" spans="1:3">
      <c r="B144"/>
      <c r="C144" s="33"/>
    </row>
    <row r="145" spans="2:3">
      <c r="B145"/>
      <c r="C145" s="33"/>
    </row>
    <row r="146" spans="2:3">
      <c r="B146"/>
      <c r="C146" s="33"/>
    </row>
    <row r="147" spans="2:3">
      <c r="B147"/>
      <c r="C147" s="33"/>
    </row>
    <row r="148" spans="2:3">
      <c r="B148"/>
      <c r="C148" s="8"/>
    </row>
    <row r="149" spans="2:3">
      <c r="B149"/>
      <c r="C149" s="33"/>
    </row>
    <row r="150" spans="2:3">
      <c r="B150"/>
      <c r="C150" s="33"/>
    </row>
    <row r="151" spans="2:3">
      <c r="B151"/>
      <c r="C151" s="8"/>
    </row>
    <row r="152" spans="2:3">
      <c r="B152"/>
      <c r="C152" s="8"/>
    </row>
    <row r="153" spans="2:3">
      <c r="B153"/>
      <c r="C153" s="8"/>
    </row>
    <row r="154" spans="2:3">
      <c r="B154"/>
    </row>
    <row r="155" spans="2:3">
      <c r="B155"/>
      <c r="C155" s="8"/>
    </row>
    <row r="156" spans="2:3">
      <c r="B156"/>
      <c r="C156" s="8"/>
    </row>
    <row r="157" spans="2:3">
      <c r="B157"/>
      <c r="C157" s="8"/>
    </row>
    <row r="158" spans="2:3">
      <c r="B158"/>
      <c r="C158" s="8"/>
    </row>
    <row r="159" spans="2:3">
      <c r="B159"/>
      <c r="C159" s="8"/>
    </row>
    <row r="160" spans="2:3">
      <c r="B160"/>
    </row>
    <row r="161" spans="2:2">
      <c r="B161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workbookViewId="0">
      <selection activeCell="D17" sqref="D17"/>
    </sheetView>
  </sheetViews>
  <sheetFormatPr defaultRowHeight="14"/>
  <cols>
    <col min="1" max="1" width="40.9140625" bestFit="1" customWidth="1"/>
  </cols>
  <sheetData>
    <row r="1" spans="1:2" ht="14.5">
      <c r="A1" s="9" t="s">
        <v>28</v>
      </c>
      <c r="B1">
        <v>1</v>
      </c>
    </row>
    <row r="2" spans="1:2" ht="14.5">
      <c r="A2" s="9" t="s">
        <v>29</v>
      </c>
      <c r="B2">
        <v>1</v>
      </c>
    </row>
    <row r="3" spans="1:2" ht="14.5">
      <c r="A3" s="9" t="s">
        <v>30</v>
      </c>
      <c r="B3">
        <v>1</v>
      </c>
    </row>
    <row r="4" spans="1:2" ht="14.5">
      <c r="A4" s="9" t="s">
        <v>31</v>
      </c>
      <c r="B4">
        <v>1</v>
      </c>
    </row>
    <row r="5" spans="1:2" ht="14.5">
      <c r="A5" s="9" t="s">
        <v>32</v>
      </c>
      <c r="B5">
        <v>1</v>
      </c>
    </row>
    <row r="6" spans="1:2" ht="14.5">
      <c r="A6" s="9" t="s">
        <v>33</v>
      </c>
      <c r="B6">
        <v>1</v>
      </c>
    </row>
    <row r="7" spans="1:2" ht="14.5">
      <c r="A7" s="9" t="s">
        <v>34</v>
      </c>
      <c r="B7">
        <v>1</v>
      </c>
    </row>
    <row r="8" spans="1:2" ht="14.5">
      <c r="A8" s="9" t="s">
        <v>35</v>
      </c>
      <c r="B8">
        <v>1</v>
      </c>
    </row>
    <row r="9" spans="1:2" ht="14.5">
      <c r="A9" s="9" t="s">
        <v>36</v>
      </c>
      <c r="B9">
        <v>1</v>
      </c>
    </row>
    <row r="10" spans="1:2" ht="14.5">
      <c r="A10" s="9" t="s">
        <v>25</v>
      </c>
      <c r="B10">
        <v>1</v>
      </c>
    </row>
    <row r="11" spans="1:2" ht="14.5">
      <c r="A11" s="9" t="s">
        <v>37</v>
      </c>
      <c r="B11">
        <v>1</v>
      </c>
    </row>
    <row r="12" spans="1:2" ht="14.5">
      <c r="A12" s="9" t="s">
        <v>38</v>
      </c>
      <c r="B12">
        <v>1</v>
      </c>
    </row>
    <row r="13" spans="1:2" ht="14.5">
      <c r="A13" s="9" t="s">
        <v>39</v>
      </c>
      <c r="B13">
        <v>1</v>
      </c>
    </row>
    <row r="14" spans="1:2" ht="14.5">
      <c r="A14" s="9" t="s">
        <v>40</v>
      </c>
      <c r="B14">
        <v>1</v>
      </c>
    </row>
    <row r="15" spans="1:2" ht="14.5">
      <c r="A15" s="9" t="s">
        <v>41</v>
      </c>
      <c r="B15">
        <v>1</v>
      </c>
    </row>
    <row r="16" spans="1:2" ht="14.5">
      <c r="A16" s="9" t="s">
        <v>42</v>
      </c>
      <c r="B16">
        <v>1</v>
      </c>
    </row>
    <row r="17" spans="1:2" ht="14.5">
      <c r="A17" s="9" t="s">
        <v>42</v>
      </c>
      <c r="B17">
        <v>1</v>
      </c>
    </row>
    <row r="18" spans="1:2" ht="14.5">
      <c r="A18" s="9" t="s">
        <v>43</v>
      </c>
      <c r="B18">
        <v>1</v>
      </c>
    </row>
    <row r="19" spans="1:2" ht="14.5">
      <c r="A19" s="9" t="s">
        <v>44</v>
      </c>
      <c r="B19">
        <v>1</v>
      </c>
    </row>
    <row r="20" spans="1:2" ht="14.5">
      <c r="A20" s="9" t="s">
        <v>45</v>
      </c>
      <c r="B20">
        <v>1</v>
      </c>
    </row>
    <row r="21" spans="1:2" ht="14.5">
      <c r="A21" s="9" t="s">
        <v>27</v>
      </c>
      <c r="B21">
        <v>1</v>
      </c>
    </row>
    <row r="22" spans="1:2" ht="14.5">
      <c r="A22" s="9" t="s">
        <v>46</v>
      </c>
      <c r="B22">
        <v>1</v>
      </c>
    </row>
    <row r="23" spans="1:2" ht="14.5">
      <c r="A23" s="9" t="s">
        <v>47</v>
      </c>
      <c r="B23">
        <v>1</v>
      </c>
    </row>
    <row r="24" spans="1:2" ht="14.5">
      <c r="A24" s="9" t="s">
        <v>48</v>
      </c>
      <c r="B24">
        <v>1</v>
      </c>
    </row>
    <row r="25" spans="1:2">
      <c r="A25" t="s">
        <v>82</v>
      </c>
      <c r="B25">
        <v>1</v>
      </c>
    </row>
    <row r="26" spans="1:2" ht="14.5">
      <c r="A26" s="9" t="s">
        <v>64</v>
      </c>
      <c r="B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5"/>
  <sheetViews>
    <sheetView workbookViewId="0">
      <pane ySplit="1" topLeftCell="A44" activePane="bottomLeft" state="frozen"/>
      <selection pane="bottomLeft" activeCell="E58" sqref="E58"/>
    </sheetView>
  </sheetViews>
  <sheetFormatPr defaultRowHeight="14"/>
  <cols>
    <col min="1" max="1" width="19.9140625" customWidth="1"/>
    <col min="2" max="2" width="9.4140625" customWidth="1"/>
    <col min="3" max="3" width="22" customWidth="1"/>
    <col min="4" max="4" width="10.33203125" customWidth="1"/>
    <col min="5" max="5" width="41.33203125" customWidth="1"/>
    <col min="6" max="6" width="14.58203125" customWidth="1"/>
    <col min="7" max="7" width="14" customWidth="1"/>
    <col min="8" max="8" width="19.33203125" customWidth="1"/>
  </cols>
  <sheetData>
    <row r="1" spans="1:8">
      <c r="A1" s="12" t="s">
        <v>15</v>
      </c>
      <c r="B1" s="12" t="s">
        <v>0</v>
      </c>
      <c r="C1" s="12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</row>
    <row r="2" spans="1:8">
      <c r="A2" s="1" t="s">
        <v>18</v>
      </c>
      <c r="B2" s="23" t="s">
        <v>692</v>
      </c>
      <c r="C2" s="23" t="s">
        <v>7</v>
      </c>
      <c r="D2" s="23" t="s">
        <v>121</v>
      </c>
      <c r="E2" s="23" t="s">
        <v>8</v>
      </c>
      <c r="F2" s="23" t="s">
        <v>693</v>
      </c>
      <c r="G2" s="24">
        <v>5042.5</v>
      </c>
      <c r="H2" s="24">
        <v>1700</v>
      </c>
    </row>
    <row r="3" spans="1:8">
      <c r="A3" s="1" t="s">
        <v>18</v>
      </c>
      <c r="B3" s="23" t="s">
        <v>694</v>
      </c>
      <c r="C3" s="23" t="s">
        <v>7</v>
      </c>
      <c r="D3" s="23" t="s">
        <v>122</v>
      </c>
      <c r="E3" s="23" t="s">
        <v>9</v>
      </c>
      <c r="F3" s="23" t="s">
        <v>695</v>
      </c>
      <c r="G3" s="24">
        <v>1862</v>
      </c>
      <c r="H3" s="24">
        <v>931</v>
      </c>
    </row>
    <row r="4" spans="1:8">
      <c r="A4" s="1" t="s">
        <v>18</v>
      </c>
      <c r="B4" s="23" t="s">
        <v>696</v>
      </c>
      <c r="C4" s="23" t="s">
        <v>7</v>
      </c>
      <c r="D4" s="23" t="s">
        <v>123</v>
      </c>
      <c r="E4" s="23" t="s">
        <v>10</v>
      </c>
      <c r="F4" s="23" t="s">
        <v>697</v>
      </c>
      <c r="G4" s="24">
        <v>1271</v>
      </c>
      <c r="H4" s="24">
        <v>1271</v>
      </c>
    </row>
    <row r="5" spans="1:8">
      <c r="A5" s="1" t="s">
        <v>18</v>
      </c>
      <c r="B5" s="23" t="s">
        <v>698</v>
      </c>
      <c r="C5" s="23" t="s">
        <v>7</v>
      </c>
      <c r="D5" s="23" t="s">
        <v>124</v>
      </c>
      <c r="E5" s="23" t="s">
        <v>11</v>
      </c>
      <c r="F5" s="23" t="s">
        <v>699</v>
      </c>
      <c r="G5" s="24">
        <v>1324.38</v>
      </c>
      <c r="H5" s="24">
        <v>1324.38</v>
      </c>
    </row>
    <row r="6" spans="1:8">
      <c r="A6" s="1" t="s">
        <v>18</v>
      </c>
      <c r="B6" s="23" t="s">
        <v>700</v>
      </c>
      <c r="C6" s="23" t="s">
        <v>7</v>
      </c>
      <c r="D6" s="23" t="s">
        <v>125</v>
      </c>
      <c r="E6" s="23" t="s">
        <v>67</v>
      </c>
      <c r="F6" s="23" t="s">
        <v>701</v>
      </c>
      <c r="G6" s="24">
        <v>12036.32</v>
      </c>
      <c r="H6" s="24">
        <v>12036.32</v>
      </c>
    </row>
    <row r="7" spans="1:8">
      <c r="A7" s="1" t="s">
        <v>18</v>
      </c>
      <c r="B7" s="23" t="s">
        <v>702</v>
      </c>
      <c r="C7" s="23" t="s">
        <v>7</v>
      </c>
      <c r="D7" s="23" t="s">
        <v>126</v>
      </c>
      <c r="E7" s="23" t="s">
        <v>116</v>
      </c>
      <c r="F7" s="23" t="s">
        <v>703</v>
      </c>
      <c r="G7" s="24">
        <v>524.62</v>
      </c>
      <c r="H7" s="24">
        <v>524.62</v>
      </c>
    </row>
    <row r="8" spans="1:8">
      <c r="A8" s="1" t="s">
        <v>18</v>
      </c>
      <c r="B8" s="23" t="s">
        <v>705</v>
      </c>
      <c r="C8" s="23" t="s">
        <v>7</v>
      </c>
      <c r="D8" s="23" t="s">
        <v>674</v>
      </c>
      <c r="E8" s="23" t="s">
        <v>795</v>
      </c>
      <c r="F8" s="23" t="s">
        <v>706</v>
      </c>
      <c r="G8" s="24">
        <v>10024.84</v>
      </c>
      <c r="H8" s="24">
        <v>4512</v>
      </c>
    </row>
    <row r="9" spans="1:8">
      <c r="A9" s="1" t="s">
        <v>18</v>
      </c>
      <c r="B9" s="23" t="s">
        <v>709</v>
      </c>
      <c r="C9" s="23" t="s">
        <v>7</v>
      </c>
      <c r="D9" s="23" t="s">
        <v>681</v>
      </c>
      <c r="E9" s="23" t="s">
        <v>419</v>
      </c>
      <c r="F9" s="23" t="s">
        <v>710</v>
      </c>
      <c r="G9" s="24">
        <v>2546</v>
      </c>
      <c r="H9" s="24">
        <v>46</v>
      </c>
    </row>
    <row r="10" spans="1:8">
      <c r="A10" s="1" t="s">
        <v>18</v>
      </c>
      <c r="B10" s="23" t="s">
        <v>711</v>
      </c>
      <c r="C10" s="23" t="s">
        <v>7</v>
      </c>
      <c r="D10" s="23" t="s">
        <v>686</v>
      </c>
      <c r="E10" s="23" t="s">
        <v>687</v>
      </c>
      <c r="F10" s="23" t="s">
        <v>712</v>
      </c>
      <c r="G10" s="24">
        <v>4560.75</v>
      </c>
      <c r="H10" s="24">
        <v>4560.75</v>
      </c>
    </row>
    <row r="11" spans="1:8">
      <c r="A11" s="1" t="s">
        <v>22</v>
      </c>
      <c r="B11" s="23" t="s">
        <v>713</v>
      </c>
      <c r="C11" s="23" t="s">
        <v>7</v>
      </c>
      <c r="D11" s="23" t="s">
        <v>688</v>
      </c>
      <c r="E11" s="23" t="s">
        <v>84</v>
      </c>
      <c r="F11" s="23" t="s">
        <v>714</v>
      </c>
      <c r="G11" s="24">
        <v>9435.75</v>
      </c>
      <c r="H11" s="24">
        <v>9435.75</v>
      </c>
    </row>
    <row r="12" spans="1:8">
      <c r="A12" s="1" t="s">
        <v>22</v>
      </c>
      <c r="B12" s="23" t="s">
        <v>704</v>
      </c>
      <c r="C12" s="23" t="s">
        <v>7</v>
      </c>
      <c r="D12" s="23" t="s">
        <v>689</v>
      </c>
      <c r="E12" s="23" t="s">
        <v>690</v>
      </c>
      <c r="F12" s="23" t="s">
        <v>715</v>
      </c>
      <c r="G12" s="24">
        <v>1075.5899999999999</v>
      </c>
      <c r="H12" s="24">
        <v>1075.5899999999999</v>
      </c>
    </row>
    <row r="13" spans="1:8">
      <c r="A13" s="1" t="s">
        <v>22</v>
      </c>
      <c r="B13" s="23" t="s">
        <v>707</v>
      </c>
      <c r="C13" s="23" t="s">
        <v>7</v>
      </c>
      <c r="D13" s="23" t="s">
        <v>718</v>
      </c>
      <c r="E13" s="23" t="s">
        <v>84</v>
      </c>
      <c r="F13" s="23" t="s">
        <v>716</v>
      </c>
      <c r="G13" s="24">
        <v>2862.13</v>
      </c>
      <c r="H13" s="24">
        <v>2862.13</v>
      </c>
    </row>
    <row r="14" spans="1:8">
      <c r="A14" s="1" t="s">
        <v>22</v>
      </c>
      <c r="B14" s="23" t="s">
        <v>708</v>
      </c>
      <c r="C14" s="23" t="s">
        <v>7</v>
      </c>
      <c r="D14" s="23" t="s">
        <v>722</v>
      </c>
      <c r="E14" s="23" t="s">
        <v>67</v>
      </c>
      <c r="F14" s="23" t="s">
        <v>721</v>
      </c>
      <c r="G14" s="24">
        <v>2000</v>
      </c>
      <c r="H14" s="24">
        <v>2000</v>
      </c>
    </row>
    <row r="15" spans="1:8">
      <c r="A15" s="1" t="s">
        <v>22</v>
      </c>
      <c r="B15" s="23" t="s">
        <v>708</v>
      </c>
      <c r="C15" s="23" t="s">
        <v>7</v>
      </c>
      <c r="D15" s="23" t="s">
        <v>723</v>
      </c>
      <c r="E15" s="23" t="s">
        <v>795</v>
      </c>
      <c r="F15" s="23" t="s">
        <v>721</v>
      </c>
      <c r="G15" s="24">
        <v>500</v>
      </c>
      <c r="H15" s="24">
        <v>500</v>
      </c>
    </row>
    <row r="16" spans="1:8">
      <c r="A16" s="1" t="s">
        <v>22</v>
      </c>
      <c r="B16" s="23" t="s">
        <v>712</v>
      </c>
      <c r="C16" s="23" t="s">
        <v>7</v>
      </c>
      <c r="D16" s="23" t="s">
        <v>729</v>
      </c>
      <c r="E16" s="23" t="s">
        <v>14</v>
      </c>
      <c r="F16" s="23" t="s">
        <v>728</v>
      </c>
      <c r="G16" s="24">
        <v>5330.5</v>
      </c>
      <c r="H16" s="24">
        <v>5330.5</v>
      </c>
    </row>
    <row r="17" spans="1:8">
      <c r="A17" s="1" t="s">
        <v>21</v>
      </c>
      <c r="B17" s="23" t="s">
        <v>733</v>
      </c>
      <c r="C17" s="23" t="s">
        <v>7</v>
      </c>
      <c r="D17" s="23" t="s">
        <v>755</v>
      </c>
      <c r="E17" s="23" t="s">
        <v>103</v>
      </c>
      <c r="F17" s="23" t="s">
        <v>734</v>
      </c>
      <c r="G17" s="24">
        <v>6844.96</v>
      </c>
      <c r="H17" s="24">
        <v>6844.96</v>
      </c>
    </row>
    <row r="18" spans="1:8">
      <c r="A18" s="1" t="s">
        <v>21</v>
      </c>
      <c r="B18" s="23" t="s">
        <v>716</v>
      </c>
      <c r="C18" s="23" t="s">
        <v>7</v>
      </c>
      <c r="D18" s="23" t="s">
        <v>746</v>
      </c>
      <c r="E18" s="23" t="s">
        <v>103</v>
      </c>
      <c r="F18" s="23" t="s">
        <v>736</v>
      </c>
      <c r="G18" s="24">
        <v>6081</v>
      </c>
      <c r="H18" s="24">
        <v>6081</v>
      </c>
    </row>
    <row r="19" spans="1:8">
      <c r="A19" s="1" t="s">
        <v>21</v>
      </c>
      <c r="B19" s="23" t="s">
        <v>737</v>
      </c>
      <c r="C19" s="23" t="s">
        <v>7</v>
      </c>
      <c r="D19" s="23" t="s">
        <v>739</v>
      </c>
      <c r="E19" s="23" t="s">
        <v>67</v>
      </c>
      <c r="F19" s="23" t="s">
        <v>738</v>
      </c>
      <c r="G19" s="24">
        <v>500</v>
      </c>
      <c r="H19" s="24">
        <v>500</v>
      </c>
    </row>
    <row r="20" spans="1:8">
      <c r="A20" s="1" t="s">
        <v>21</v>
      </c>
      <c r="B20" s="23" t="s">
        <v>741</v>
      </c>
      <c r="C20" s="23" t="s">
        <v>7</v>
      </c>
      <c r="D20" s="23" t="s">
        <v>743</v>
      </c>
      <c r="E20" s="23" t="s">
        <v>717</v>
      </c>
      <c r="F20" s="23" t="s">
        <v>742</v>
      </c>
      <c r="G20" s="24">
        <v>2870.25</v>
      </c>
      <c r="H20" s="24">
        <v>1425</v>
      </c>
    </row>
    <row r="21" spans="1:8">
      <c r="A21" s="1" t="s">
        <v>21</v>
      </c>
      <c r="B21" s="23" t="s">
        <v>741</v>
      </c>
      <c r="C21" s="23" t="s">
        <v>7</v>
      </c>
      <c r="D21" s="23" t="s">
        <v>745</v>
      </c>
      <c r="E21" s="23" t="s">
        <v>691</v>
      </c>
      <c r="F21" s="23" t="s">
        <v>742</v>
      </c>
      <c r="G21" s="24">
        <v>2443.25</v>
      </c>
      <c r="H21" s="24">
        <v>1200</v>
      </c>
    </row>
    <row r="22" spans="1:8">
      <c r="A22" s="1" t="s">
        <v>21</v>
      </c>
      <c r="B22" s="23" t="s">
        <v>741</v>
      </c>
      <c r="C22" s="23" t="s">
        <v>7</v>
      </c>
      <c r="D22" s="23" t="s">
        <v>748</v>
      </c>
      <c r="E22" s="23" t="s">
        <v>116</v>
      </c>
      <c r="F22" s="23" t="s">
        <v>742</v>
      </c>
      <c r="G22" s="24">
        <v>2277.2800000000002</v>
      </c>
      <c r="H22" s="24">
        <v>2277.2800000000002</v>
      </c>
    </row>
    <row r="23" spans="1:8">
      <c r="A23" s="1" t="s">
        <v>21</v>
      </c>
      <c r="B23" s="23" t="s">
        <v>726</v>
      </c>
      <c r="C23" s="23" t="s">
        <v>7</v>
      </c>
      <c r="D23" s="23" t="s">
        <v>750</v>
      </c>
      <c r="E23" s="23" t="s">
        <v>513</v>
      </c>
      <c r="F23" s="23" t="s">
        <v>749</v>
      </c>
      <c r="G23" s="24">
        <v>975.75</v>
      </c>
      <c r="H23" s="24">
        <v>975.75</v>
      </c>
    </row>
    <row r="24" spans="1:8">
      <c r="A24" s="1" t="s">
        <v>21</v>
      </c>
      <c r="B24" s="23" t="s">
        <v>727</v>
      </c>
      <c r="C24" s="23" t="s">
        <v>7</v>
      </c>
      <c r="D24" s="23" t="s">
        <v>756</v>
      </c>
      <c r="E24" s="23" t="s">
        <v>690</v>
      </c>
      <c r="F24" s="23" t="s">
        <v>751</v>
      </c>
      <c r="G24" s="24">
        <v>1686.54</v>
      </c>
      <c r="H24" s="24">
        <v>1686.54</v>
      </c>
    </row>
    <row r="25" spans="1:8">
      <c r="A25" s="1" t="s">
        <v>21</v>
      </c>
      <c r="B25" s="23" t="s">
        <v>730</v>
      </c>
      <c r="C25" s="23" t="s">
        <v>7</v>
      </c>
      <c r="D25" s="23" t="s">
        <v>759</v>
      </c>
      <c r="E25" s="23" t="s">
        <v>82</v>
      </c>
      <c r="F25" s="23" t="s">
        <v>757</v>
      </c>
      <c r="G25" s="24">
        <v>1051.48</v>
      </c>
      <c r="H25" s="24">
        <v>1051.48</v>
      </c>
    </row>
    <row r="26" spans="1:8">
      <c r="A26" s="1" t="s">
        <v>19</v>
      </c>
      <c r="B26" s="23" t="s">
        <v>761</v>
      </c>
      <c r="C26" s="23" t="s">
        <v>7</v>
      </c>
      <c r="D26" s="23" t="s">
        <v>762</v>
      </c>
      <c r="E26" s="23" t="s">
        <v>691</v>
      </c>
      <c r="F26" s="23" t="s">
        <v>763</v>
      </c>
      <c r="G26" s="24">
        <v>2443.25</v>
      </c>
      <c r="H26" s="24">
        <v>2443.25</v>
      </c>
    </row>
    <row r="27" spans="1:8">
      <c r="A27" s="1" t="s">
        <v>19</v>
      </c>
      <c r="B27" s="23" t="s">
        <v>761</v>
      </c>
      <c r="C27" s="23" t="s">
        <v>7</v>
      </c>
      <c r="D27" s="23" t="s">
        <v>764</v>
      </c>
      <c r="E27" s="23" t="s">
        <v>133</v>
      </c>
      <c r="F27" s="23" t="s">
        <v>763</v>
      </c>
      <c r="G27" s="24">
        <v>1128.8800000000001</v>
      </c>
      <c r="H27" s="24">
        <v>1128.8800000000001</v>
      </c>
    </row>
    <row r="28" spans="1:8">
      <c r="A28" s="1" t="s">
        <v>19</v>
      </c>
      <c r="B28" s="23" t="s">
        <v>734</v>
      </c>
      <c r="C28" s="23" t="s">
        <v>7</v>
      </c>
      <c r="D28" s="23" t="s">
        <v>768</v>
      </c>
      <c r="E28" s="23" t="s">
        <v>49</v>
      </c>
      <c r="F28" s="23" t="s">
        <v>767</v>
      </c>
      <c r="G28" s="24">
        <v>10066.370000000001</v>
      </c>
      <c r="H28" s="24">
        <v>10066.370000000001</v>
      </c>
    </row>
    <row r="29" spans="1:8">
      <c r="A29" s="1" t="s">
        <v>19</v>
      </c>
      <c r="B29" s="23" t="s">
        <v>734</v>
      </c>
      <c r="C29" s="23" t="s">
        <v>7</v>
      </c>
      <c r="D29" s="23" t="s">
        <v>769</v>
      </c>
      <c r="E29" s="23" t="s">
        <v>563</v>
      </c>
      <c r="F29" s="23" t="s">
        <v>767</v>
      </c>
      <c r="G29" s="24">
        <v>2725.38</v>
      </c>
      <c r="H29" s="24">
        <v>2725.38</v>
      </c>
    </row>
    <row r="30" spans="1:8">
      <c r="A30" s="1" t="s">
        <v>19</v>
      </c>
      <c r="B30" s="23" t="s">
        <v>734</v>
      </c>
      <c r="C30" s="23" t="s">
        <v>7</v>
      </c>
      <c r="D30" s="23" t="s">
        <v>770</v>
      </c>
      <c r="E30" s="23" t="s">
        <v>133</v>
      </c>
      <c r="F30" s="23" t="s">
        <v>767</v>
      </c>
      <c r="G30" s="24">
        <v>1218.8800000000001</v>
      </c>
      <c r="H30" s="24">
        <v>1218.8800000000001</v>
      </c>
    </row>
    <row r="31" spans="1:8">
      <c r="A31" s="1" t="s">
        <v>19</v>
      </c>
      <c r="B31" s="23" t="s">
        <v>734</v>
      </c>
      <c r="C31" s="23" t="s">
        <v>7</v>
      </c>
      <c r="D31" s="23" t="s">
        <v>771</v>
      </c>
      <c r="E31" s="23" t="s">
        <v>719</v>
      </c>
      <c r="F31" s="23" t="s">
        <v>767</v>
      </c>
      <c r="G31" s="24">
        <v>1320.25</v>
      </c>
      <c r="H31" s="24">
        <v>1320.25</v>
      </c>
    </row>
    <row r="32" spans="1:8">
      <c r="A32" s="1" t="s">
        <v>19</v>
      </c>
      <c r="B32" s="23" t="s">
        <v>734</v>
      </c>
      <c r="C32" s="23" t="s">
        <v>7</v>
      </c>
      <c r="D32" s="23" t="s">
        <v>772</v>
      </c>
      <c r="E32" s="23" t="s">
        <v>90</v>
      </c>
      <c r="F32" s="23" t="s">
        <v>767</v>
      </c>
      <c r="G32" s="24">
        <v>2440.5</v>
      </c>
      <c r="H32" s="24">
        <v>2440.5</v>
      </c>
    </row>
    <row r="33" spans="1:8">
      <c r="A33" s="1" t="s">
        <v>19</v>
      </c>
      <c r="B33" s="23" t="s">
        <v>734</v>
      </c>
      <c r="C33" s="23" t="s">
        <v>7</v>
      </c>
      <c r="D33" s="23" t="s">
        <v>773</v>
      </c>
      <c r="E33" s="23" t="s">
        <v>103</v>
      </c>
      <c r="F33" s="23" t="s">
        <v>767</v>
      </c>
      <c r="G33" s="24">
        <v>3824.8</v>
      </c>
      <c r="H33" s="24">
        <v>3824.8</v>
      </c>
    </row>
    <row r="34" spans="1:8">
      <c r="A34" s="1" t="s">
        <v>19</v>
      </c>
      <c r="B34" s="23" t="s">
        <v>776</v>
      </c>
      <c r="C34" s="23" t="s">
        <v>7</v>
      </c>
      <c r="D34" s="23" t="s">
        <v>778</v>
      </c>
      <c r="E34" s="23" t="s">
        <v>49</v>
      </c>
      <c r="F34" s="23" t="s">
        <v>777</v>
      </c>
      <c r="G34" s="24">
        <v>1368.88</v>
      </c>
      <c r="H34" s="24">
        <v>1368.88</v>
      </c>
    </row>
    <row r="35" spans="1:8">
      <c r="A35" s="1" t="s">
        <v>19</v>
      </c>
      <c r="B35" s="23" t="s">
        <v>776</v>
      </c>
      <c r="C35" s="23" t="s">
        <v>7</v>
      </c>
      <c r="D35" s="23" t="s">
        <v>779</v>
      </c>
      <c r="E35" s="23" t="s">
        <v>119</v>
      </c>
      <c r="F35" s="23" t="s">
        <v>777</v>
      </c>
      <c r="G35" s="24">
        <v>3251.5</v>
      </c>
      <c r="H35" s="24">
        <v>3251.5</v>
      </c>
    </row>
    <row r="36" spans="1:8">
      <c r="A36" s="1" t="s">
        <v>19</v>
      </c>
      <c r="B36" s="23" t="s">
        <v>738</v>
      </c>
      <c r="C36" s="23" t="s">
        <v>7</v>
      </c>
      <c r="D36" s="23" t="s">
        <v>780</v>
      </c>
      <c r="E36" s="23" t="s">
        <v>67</v>
      </c>
      <c r="F36" s="23" t="s">
        <v>740</v>
      </c>
      <c r="G36" s="24">
        <v>500</v>
      </c>
      <c r="H36" s="24">
        <v>500</v>
      </c>
    </row>
    <row r="37" spans="1:8">
      <c r="A37" s="1" t="s">
        <v>19</v>
      </c>
      <c r="B37" s="23" t="s">
        <v>738</v>
      </c>
      <c r="C37" s="23" t="s">
        <v>7</v>
      </c>
      <c r="D37" s="23" t="s">
        <v>781</v>
      </c>
      <c r="E37" s="23" t="s">
        <v>752</v>
      </c>
      <c r="F37" s="23" t="s">
        <v>740</v>
      </c>
      <c r="G37" s="24">
        <v>825.75</v>
      </c>
      <c r="H37" s="24">
        <v>825.75</v>
      </c>
    </row>
    <row r="38" spans="1:8">
      <c r="A38" s="1" t="s">
        <v>19</v>
      </c>
      <c r="B38" s="23" t="s">
        <v>738</v>
      </c>
      <c r="C38" s="23" t="s">
        <v>7</v>
      </c>
      <c r="D38" s="23" t="s">
        <v>782</v>
      </c>
      <c r="E38" s="23" t="s">
        <v>563</v>
      </c>
      <c r="F38" s="23" t="s">
        <v>740</v>
      </c>
      <c r="G38" s="24">
        <v>2646</v>
      </c>
      <c r="H38" s="24">
        <v>2646</v>
      </c>
    </row>
    <row r="39" spans="1:8">
      <c r="A39" s="1" t="s">
        <v>19</v>
      </c>
      <c r="B39" s="23" t="s">
        <v>738</v>
      </c>
      <c r="C39" s="23" t="s">
        <v>7</v>
      </c>
      <c r="D39" s="23" t="s">
        <v>783</v>
      </c>
      <c r="E39" s="23" t="s">
        <v>93</v>
      </c>
      <c r="F39" s="23" t="s">
        <v>740</v>
      </c>
      <c r="G39" s="24">
        <v>1361.28</v>
      </c>
      <c r="H39" s="24">
        <v>1361.28</v>
      </c>
    </row>
    <row r="40" spans="1:8">
      <c r="A40" s="1" t="s">
        <v>19</v>
      </c>
      <c r="B40" s="23" t="s">
        <v>738</v>
      </c>
      <c r="C40" s="23" t="s">
        <v>7</v>
      </c>
      <c r="D40" s="23" t="s">
        <v>784</v>
      </c>
      <c r="E40" s="23" t="s">
        <v>64</v>
      </c>
      <c r="F40" s="23" t="s">
        <v>740</v>
      </c>
      <c r="G40" s="24">
        <v>7615</v>
      </c>
      <c r="H40" s="24">
        <v>7615</v>
      </c>
    </row>
    <row r="41" spans="1:8">
      <c r="A41" s="1" t="s">
        <v>19</v>
      </c>
      <c r="B41" s="23" t="s">
        <v>785</v>
      </c>
      <c r="C41" s="23" t="s">
        <v>7</v>
      </c>
      <c r="D41" s="23" t="s">
        <v>787</v>
      </c>
      <c r="E41" s="23" t="s">
        <v>685</v>
      </c>
      <c r="F41" s="23" t="s">
        <v>786</v>
      </c>
      <c r="G41" s="24">
        <v>1168.8800000000001</v>
      </c>
      <c r="H41" s="24">
        <v>1168.8800000000001</v>
      </c>
    </row>
    <row r="42" spans="1:8">
      <c r="A42" s="1" t="s">
        <v>19</v>
      </c>
      <c r="B42" s="23" t="s">
        <v>785</v>
      </c>
      <c r="C42" s="23" t="s">
        <v>7</v>
      </c>
      <c r="D42" s="23" t="s">
        <v>788</v>
      </c>
      <c r="E42" s="23" t="s">
        <v>685</v>
      </c>
      <c r="F42" s="23" t="s">
        <v>786</v>
      </c>
      <c r="G42" s="24">
        <v>2268.75</v>
      </c>
      <c r="H42" s="24">
        <v>2268.75</v>
      </c>
    </row>
    <row r="43" spans="1:8">
      <c r="A43" s="1" t="s">
        <v>19</v>
      </c>
      <c r="B43" s="23" t="s">
        <v>790</v>
      </c>
      <c r="C43" s="23" t="s">
        <v>7</v>
      </c>
      <c r="D43" s="23" t="s">
        <v>796</v>
      </c>
      <c r="E43" s="23" t="s">
        <v>103</v>
      </c>
      <c r="F43" s="23" t="s">
        <v>791</v>
      </c>
      <c r="G43" s="24">
        <v>1429.14</v>
      </c>
      <c r="H43" s="24">
        <v>1429.14</v>
      </c>
    </row>
    <row r="44" spans="1:8">
      <c r="A44" s="1" t="s">
        <v>19</v>
      </c>
      <c r="B44" s="23" t="s">
        <v>747</v>
      </c>
      <c r="C44" s="23" t="s">
        <v>7</v>
      </c>
      <c r="D44" s="23" t="s">
        <v>805</v>
      </c>
      <c r="E44" s="23" t="s">
        <v>65</v>
      </c>
      <c r="F44" s="23" t="s">
        <v>797</v>
      </c>
      <c r="G44" s="24">
        <v>2510.06</v>
      </c>
      <c r="H44" s="24">
        <v>2510.06</v>
      </c>
    </row>
    <row r="45" spans="1:8">
      <c r="A45" s="1" t="s">
        <v>19</v>
      </c>
      <c r="B45" s="23" t="s">
        <v>742</v>
      </c>
      <c r="C45" s="23" t="s">
        <v>7</v>
      </c>
      <c r="D45" s="23" t="s">
        <v>799</v>
      </c>
      <c r="E45" s="23" t="s">
        <v>96</v>
      </c>
      <c r="F45" s="23" t="s">
        <v>798</v>
      </c>
      <c r="G45" s="24">
        <v>4445.95</v>
      </c>
      <c r="H45" s="24">
        <v>4445.95</v>
      </c>
    </row>
    <row r="46" spans="1:8">
      <c r="A46" s="1" t="s">
        <v>19</v>
      </c>
      <c r="B46" s="23" t="s">
        <v>749</v>
      </c>
      <c r="C46" s="23" t="s">
        <v>7</v>
      </c>
      <c r="D46" s="23" t="s">
        <v>800</v>
      </c>
      <c r="E46" s="23" t="s">
        <v>103</v>
      </c>
      <c r="F46" s="23" t="s">
        <v>754</v>
      </c>
      <c r="G46" s="24">
        <v>3060.75</v>
      </c>
      <c r="H46" s="24">
        <v>3060.75</v>
      </c>
    </row>
    <row r="47" spans="1:8">
      <c r="A47" s="1" t="s">
        <v>19</v>
      </c>
      <c r="B47" s="23" t="s">
        <v>749</v>
      </c>
      <c r="C47" s="23" t="s">
        <v>7</v>
      </c>
      <c r="D47" s="23" t="s">
        <v>801</v>
      </c>
      <c r="E47" s="23" t="s">
        <v>66</v>
      </c>
      <c r="F47" s="23" t="s">
        <v>754</v>
      </c>
      <c r="G47" s="24">
        <v>1644.85</v>
      </c>
      <c r="H47" s="24">
        <v>1.2</v>
      </c>
    </row>
    <row r="48" spans="1:8">
      <c r="A48" s="1" t="s">
        <v>19</v>
      </c>
      <c r="B48" s="23" t="s">
        <v>749</v>
      </c>
      <c r="C48" s="23" t="s">
        <v>7</v>
      </c>
      <c r="D48" s="23" t="s">
        <v>802</v>
      </c>
      <c r="E48" s="23" t="s">
        <v>685</v>
      </c>
      <c r="F48" s="23" t="s">
        <v>754</v>
      </c>
      <c r="G48" s="24">
        <v>1175.75</v>
      </c>
      <c r="H48" s="24">
        <v>1175.75</v>
      </c>
    </row>
    <row r="49" spans="1:8">
      <c r="A49" s="1" t="s">
        <v>19</v>
      </c>
      <c r="B49" s="23" t="s">
        <v>749</v>
      </c>
      <c r="C49" s="23" t="s">
        <v>7</v>
      </c>
      <c r="D49" s="23" t="s">
        <v>803</v>
      </c>
      <c r="E49" s="23" t="s">
        <v>685</v>
      </c>
      <c r="F49" s="23" t="s">
        <v>754</v>
      </c>
      <c r="G49" s="24">
        <v>1174.3800000000001</v>
      </c>
      <c r="H49" s="24">
        <v>1174.3800000000001</v>
      </c>
    </row>
    <row r="50" spans="1:8">
      <c r="A50" s="1" t="s">
        <v>19</v>
      </c>
      <c r="B50" s="23" t="s">
        <v>806</v>
      </c>
      <c r="C50" s="23" t="s">
        <v>7</v>
      </c>
      <c r="D50" s="23" t="s">
        <v>807</v>
      </c>
      <c r="E50" s="23" t="s">
        <v>238</v>
      </c>
      <c r="F50" s="23" t="s">
        <v>808</v>
      </c>
      <c r="G50" s="24">
        <v>2820.4</v>
      </c>
      <c r="H50" s="24">
        <v>2820.4</v>
      </c>
    </row>
    <row r="51" spans="1:8">
      <c r="A51" s="1" t="s">
        <v>19</v>
      </c>
      <c r="B51" s="23" t="s">
        <v>809</v>
      </c>
      <c r="C51" s="23" t="s">
        <v>7</v>
      </c>
      <c r="D51" s="23" t="s">
        <v>811</v>
      </c>
      <c r="E51" s="23" t="s">
        <v>679</v>
      </c>
      <c r="F51" s="23" t="s">
        <v>810</v>
      </c>
      <c r="G51" s="24">
        <v>2251.5</v>
      </c>
      <c r="H51" s="24">
        <v>2251.5</v>
      </c>
    </row>
    <row r="52" spans="1:8">
      <c r="A52" s="1" t="s">
        <v>19</v>
      </c>
      <c r="B52" s="23" t="s">
        <v>753</v>
      </c>
      <c r="C52" s="23" t="s">
        <v>7</v>
      </c>
      <c r="D52" s="23" t="s">
        <v>813</v>
      </c>
      <c r="E52" s="23" t="s">
        <v>179</v>
      </c>
      <c r="F52" s="23" t="s">
        <v>812</v>
      </c>
      <c r="G52" s="24">
        <v>2179.14</v>
      </c>
      <c r="H52" s="24">
        <v>2179.14</v>
      </c>
    </row>
    <row r="53" spans="1:8">
      <c r="A53" s="1" t="s">
        <v>19</v>
      </c>
      <c r="B53" s="23" t="s">
        <v>753</v>
      </c>
      <c r="C53" s="23" t="s">
        <v>7</v>
      </c>
      <c r="D53" s="23" t="s">
        <v>814</v>
      </c>
      <c r="E53" s="23" t="s">
        <v>179</v>
      </c>
      <c r="F53" s="23" t="s">
        <v>812</v>
      </c>
      <c r="G53" s="24">
        <v>2179.14</v>
      </c>
      <c r="H53" s="24">
        <v>2179.14</v>
      </c>
    </row>
    <row r="54" spans="1:8">
      <c r="A54" s="1" t="s">
        <v>19</v>
      </c>
      <c r="B54" s="23" t="s">
        <v>753</v>
      </c>
      <c r="C54" s="23" t="s">
        <v>7</v>
      </c>
      <c r="D54" s="23" t="s">
        <v>815</v>
      </c>
      <c r="E54" s="23" t="s">
        <v>179</v>
      </c>
      <c r="F54" s="23" t="s">
        <v>812</v>
      </c>
      <c r="G54" s="24">
        <v>2179.14</v>
      </c>
      <c r="H54" s="24">
        <v>2179.14</v>
      </c>
    </row>
    <row r="55" spans="1:8">
      <c r="A55" s="1" t="s">
        <v>19</v>
      </c>
      <c r="B55" s="23" t="s">
        <v>753</v>
      </c>
      <c r="C55" s="23" t="s">
        <v>7</v>
      </c>
      <c r="D55" s="23" t="s">
        <v>816</v>
      </c>
      <c r="E55" s="23" t="s">
        <v>179</v>
      </c>
      <c r="F55" s="23" t="s">
        <v>812</v>
      </c>
      <c r="G55" s="24">
        <v>2179.14</v>
      </c>
      <c r="H55" s="24">
        <v>2179.14</v>
      </c>
    </row>
    <row r="56" spans="1:8">
      <c r="A56" s="1" t="s">
        <v>19</v>
      </c>
      <c r="B56" s="23" t="s">
        <v>757</v>
      </c>
      <c r="C56" s="23" t="s">
        <v>7</v>
      </c>
      <c r="D56" s="23" t="s">
        <v>818</v>
      </c>
      <c r="E56" s="23" t="s">
        <v>795</v>
      </c>
      <c r="F56" s="23" t="s">
        <v>817</v>
      </c>
      <c r="G56" s="24">
        <v>2577.75</v>
      </c>
      <c r="H56" s="24">
        <v>2577.75</v>
      </c>
    </row>
    <row r="57" spans="1:8">
      <c r="A57" s="1" t="s">
        <v>19</v>
      </c>
      <c r="B57" s="23" t="s">
        <v>731</v>
      </c>
      <c r="C57" s="23" t="s">
        <v>7</v>
      </c>
      <c r="D57" s="23" t="s">
        <v>765</v>
      </c>
      <c r="E57" s="23" t="s">
        <v>115</v>
      </c>
      <c r="F57" s="23" t="s">
        <v>766</v>
      </c>
      <c r="G57" s="24">
        <v>1375.75</v>
      </c>
      <c r="H57" s="24">
        <v>1375.75</v>
      </c>
    </row>
    <row r="58" spans="1:8">
      <c r="A58" s="1" t="s">
        <v>68</v>
      </c>
      <c r="B58" s="23" t="s">
        <v>819</v>
      </c>
      <c r="C58" s="23" t="s">
        <v>7</v>
      </c>
      <c r="D58" s="23" t="s">
        <v>882</v>
      </c>
      <c r="E58" s="23" t="s">
        <v>795</v>
      </c>
      <c r="F58" s="23" t="s">
        <v>820</v>
      </c>
      <c r="G58" s="24">
        <v>510.33</v>
      </c>
      <c r="H58" s="24">
        <v>510.33</v>
      </c>
    </row>
    <row r="59" spans="1:8">
      <c r="A59" s="1" t="s">
        <v>68</v>
      </c>
      <c r="B59" s="23" t="s">
        <v>821</v>
      </c>
      <c r="C59" s="23" t="s">
        <v>7</v>
      </c>
      <c r="D59" s="23" t="s">
        <v>883</v>
      </c>
      <c r="E59" s="23" t="s">
        <v>179</v>
      </c>
      <c r="F59" s="23" t="s">
        <v>822</v>
      </c>
      <c r="G59" s="24">
        <v>2467.25</v>
      </c>
      <c r="H59" s="24">
        <v>2467.25</v>
      </c>
    </row>
    <row r="60" spans="1:8">
      <c r="A60" s="1" t="s">
        <v>68</v>
      </c>
      <c r="B60" s="23" t="s">
        <v>821</v>
      </c>
      <c r="C60" s="23" t="s">
        <v>7</v>
      </c>
      <c r="D60" s="23" t="s">
        <v>884</v>
      </c>
      <c r="E60" s="23" t="s">
        <v>179</v>
      </c>
      <c r="F60" s="23" t="s">
        <v>822</v>
      </c>
      <c r="G60" s="24">
        <v>2467.25</v>
      </c>
      <c r="H60" s="24">
        <v>2467.25</v>
      </c>
    </row>
    <row r="61" spans="1:8">
      <c r="A61" s="1" t="s">
        <v>68</v>
      </c>
      <c r="B61" s="23" t="s">
        <v>760</v>
      </c>
      <c r="C61" s="23" t="s">
        <v>7</v>
      </c>
      <c r="D61" s="23" t="s">
        <v>885</v>
      </c>
      <c r="E61" s="23" t="s">
        <v>179</v>
      </c>
      <c r="F61" s="23" t="s">
        <v>824</v>
      </c>
      <c r="G61" s="24">
        <v>2789.08</v>
      </c>
      <c r="H61" s="24">
        <v>2789.08</v>
      </c>
    </row>
    <row r="62" spans="1:8">
      <c r="A62" s="1" t="s">
        <v>68</v>
      </c>
      <c r="B62" s="23" t="s">
        <v>760</v>
      </c>
      <c r="C62" s="23" t="s">
        <v>7</v>
      </c>
      <c r="D62" s="23" t="s">
        <v>886</v>
      </c>
      <c r="E62" s="23" t="s">
        <v>179</v>
      </c>
      <c r="F62" s="23" t="s">
        <v>824</v>
      </c>
      <c r="G62" s="24">
        <v>2654.08</v>
      </c>
      <c r="H62" s="24">
        <v>2654.08</v>
      </c>
    </row>
    <row r="63" spans="1:8">
      <c r="A63" s="1" t="s">
        <v>68</v>
      </c>
      <c r="B63" s="23" t="s">
        <v>763</v>
      </c>
      <c r="C63" s="23" t="s">
        <v>7</v>
      </c>
      <c r="D63" s="23" t="s">
        <v>825</v>
      </c>
      <c r="E63" s="23" t="s">
        <v>281</v>
      </c>
      <c r="F63" s="23" t="s">
        <v>826</v>
      </c>
      <c r="G63" s="24">
        <v>2627.89</v>
      </c>
      <c r="H63" s="24">
        <v>2627.89</v>
      </c>
    </row>
    <row r="64" spans="1:8">
      <c r="A64" s="1" t="s">
        <v>68</v>
      </c>
      <c r="B64" s="23" t="s">
        <v>763</v>
      </c>
      <c r="C64" s="23" t="s">
        <v>7</v>
      </c>
      <c r="D64" s="23" t="s">
        <v>827</v>
      </c>
      <c r="E64" s="23" t="s">
        <v>589</v>
      </c>
      <c r="F64" s="23" t="s">
        <v>826</v>
      </c>
      <c r="G64" s="24">
        <v>1020.25</v>
      </c>
      <c r="H64" s="24">
        <v>1020.25</v>
      </c>
    </row>
    <row r="65" spans="1:8">
      <c r="A65" s="1" t="s">
        <v>68</v>
      </c>
      <c r="B65" s="23" t="s">
        <v>763</v>
      </c>
      <c r="C65" s="23" t="s">
        <v>7</v>
      </c>
      <c r="D65" s="23" t="s">
        <v>828</v>
      </c>
      <c r="E65" s="23" t="s">
        <v>774</v>
      </c>
      <c r="F65" s="23" t="s">
        <v>826</v>
      </c>
      <c r="G65" s="24">
        <v>5286.5</v>
      </c>
      <c r="H65" s="24">
        <v>5286.5</v>
      </c>
    </row>
    <row r="66" spans="1:8">
      <c r="A66" s="1" t="s">
        <v>68</v>
      </c>
      <c r="B66" s="23" t="s">
        <v>763</v>
      </c>
      <c r="C66" s="23" t="s">
        <v>7</v>
      </c>
      <c r="D66" s="23" t="s">
        <v>829</v>
      </c>
      <c r="E66" s="23" t="s">
        <v>346</v>
      </c>
      <c r="F66" s="23" t="s">
        <v>826</v>
      </c>
      <c r="G66" s="24">
        <v>6738</v>
      </c>
      <c r="H66" s="24">
        <v>6738</v>
      </c>
    </row>
    <row r="67" spans="1:8">
      <c r="A67" s="1" t="s">
        <v>68</v>
      </c>
      <c r="B67" s="23" t="s">
        <v>763</v>
      </c>
      <c r="C67" s="23" t="s">
        <v>7</v>
      </c>
      <c r="D67" s="23" t="s">
        <v>830</v>
      </c>
      <c r="E67" s="23" t="s">
        <v>179</v>
      </c>
      <c r="F67" s="23" t="s">
        <v>826</v>
      </c>
      <c r="G67" s="24">
        <v>1370.25</v>
      </c>
      <c r="H67" s="24">
        <v>1370.25</v>
      </c>
    </row>
    <row r="68" spans="1:8">
      <c r="A68" s="1" t="s">
        <v>68</v>
      </c>
      <c r="B68" s="23" t="s">
        <v>763</v>
      </c>
      <c r="C68" s="23" t="s">
        <v>7</v>
      </c>
      <c r="D68" s="23" t="s">
        <v>831</v>
      </c>
      <c r="E68" s="23" t="s">
        <v>179</v>
      </c>
      <c r="F68" s="23" t="s">
        <v>826</v>
      </c>
      <c r="G68" s="24">
        <v>1370.25</v>
      </c>
      <c r="H68" s="24">
        <v>1370.25</v>
      </c>
    </row>
    <row r="69" spans="1:8">
      <c r="A69" s="1" t="s">
        <v>68</v>
      </c>
      <c r="B69" s="23" t="s">
        <v>763</v>
      </c>
      <c r="C69" s="23" t="s">
        <v>7</v>
      </c>
      <c r="D69" s="23" t="s">
        <v>832</v>
      </c>
      <c r="E69" s="23" t="s">
        <v>179</v>
      </c>
      <c r="F69" s="23" t="s">
        <v>826</v>
      </c>
      <c r="G69" s="24">
        <v>1370.25</v>
      </c>
      <c r="H69" s="24">
        <v>1370.25</v>
      </c>
    </row>
    <row r="70" spans="1:8">
      <c r="A70" s="1" t="s">
        <v>68</v>
      </c>
      <c r="B70" s="23" t="s">
        <v>763</v>
      </c>
      <c r="C70" s="23" t="s">
        <v>7</v>
      </c>
      <c r="D70" s="23" t="s">
        <v>833</v>
      </c>
      <c r="E70" s="23" t="s">
        <v>179</v>
      </c>
      <c r="F70" s="23" t="s">
        <v>826</v>
      </c>
      <c r="G70" s="24">
        <v>1370.25</v>
      </c>
      <c r="H70" s="24">
        <v>1370.25</v>
      </c>
    </row>
    <row r="71" spans="1:8">
      <c r="A71" s="1" t="s">
        <v>68</v>
      </c>
      <c r="B71" s="23" t="s">
        <v>763</v>
      </c>
      <c r="C71" s="23" t="s">
        <v>7</v>
      </c>
      <c r="D71" s="23" t="s">
        <v>834</v>
      </c>
      <c r="E71" s="23" t="s">
        <v>835</v>
      </c>
      <c r="F71" s="23" t="s">
        <v>826</v>
      </c>
      <c r="G71" s="24">
        <v>1223</v>
      </c>
      <c r="H71" s="24">
        <v>1223</v>
      </c>
    </row>
    <row r="72" spans="1:8">
      <c r="A72" s="1" t="s">
        <v>68</v>
      </c>
      <c r="B72" s="23" t="s">
        <v>763</v>
      </c>
      <c r="C72" s="23" t="s">
        <v>7</v>
      </c>
      <c r="D72" s="23" t="s">
        <v>836</v>
      </c>
      <c r="E72" s="23" t="s">
        <v>680</v>
      </c>
      <c r="F72" s="23" t="s">
        <v>826</v>
      </c>
      <c r="G72" s="24">
        <v>2646</v>
      </c>
      <c r="H72" s="24">
        <v>2646</v>
      </c>
    </row>
    <row r="73" spans="1:8">
      <c r="A73" s="1" t="s">
        <v>68</v>
      </c>
      <c r="B73" s="23" t="s">
        <v>763</v>
      </c>
      <c r="C73" s="23" t="s">
        <v>7</v>
      </c>
      <c r="D73" s="23" t="s">
        <v>837</v>
      </c>
      <c r="E73" s="23" t="s">
        <v>650</v>
      </c>
      <c r="F73" s="23" t="s">
        <v>826</v>
      </c>
      <c r="G73" s="24">
        <v>2446</v>
      </c>
      <c r="H73" s="24">
        <v>2446</v>
      </c>
    </row>
    <row r="74" spans="1:8">
      <c r="A74" s="1" t="s">
        <v>68</v>
      </c>
      <c r="B74" s="23" t="s">
        <v>763</v>
      </c>
      <c r="C74" s="23" t="s">
        <v>7</v>
      </c>
      <c r="D74" s="23" t="s">
        <v>838</v>
      </c>
      <c r="E74" s="23" t="s">
        <v>260</v>
      </c>
      <c r="F74" s="23" t="s">
        <v>826</v>
      </c>
      <c r="G74" s="24">
        <v>3827.25</v>
      </c>
      <c r="H74" s="24">
        <v>3827.25</v>
      </c>
    </row>
    <row r="75" spans="1:8">
      <c r="A75" s="1" t="s">
        <v>68</v>
      </c>
      <c r="B75" s="23" t="s">
        <v>763</v>
      </c>
      <c r="C75" s="23" t="s">
        <v>7</v>
      </c>
      <c r="D75" s="23" t="s">
        <v>839</v>
      </c>
      <c r="E75" s="23" t="s">
        <v>260</v>
      </c>
      <c r="F75" s="23" t="s">
        <v>826</v>
      </c>
      <c r="G75" s="24">
        <v>3827.25</v>
      </c>
      <c r="H75" s="24">
        <v>3827.25</v>
      </c>
    </row>
    <row r="76" spans="1:8">
      <c r="A76" s="1" t="s">
        <v>68</v>
      </c>
      <c r="B76" s="23" t="s">
        <v>763</v>
      </c>
      <c r="C76" s="23" t="s">
        <v>7</v>
      </c>
      <c r="D76" s="23" t="s">
        <v>840</v>
      </c>
      <c r="E76" s="23" t="s">
        <v>804</v>
      </c>
      <c r="F76" s="23" t="s">
        <v>826</v>
      </c>
      <c r="G76" s="24">
        <v>1323</v>
      </c>
      <c r="H76" s="24">
        <v>1223</v>
      </c>
    </row>
    <row r="77" spans="1:8">
      <c r="A77" s="1" t="s">
        <v>68</v>
      </c>
      <c r="B77" s="23" t="s">
        <v>763</v>
      </c>
      <c r="C77" s="23" t="s">
        <v>7</v>
      </c>
      <c r="D77" s="23" t="s">
        <v>841</v>
      </c>
      <c r="E77" s="23" t="s">
        <v>34</v>
      </c>
      <c r="F77" s="23" t="s">
        <v>826</v>
      </c>
      <c r="G77" s="24">
        <v>2046</v>
      </c>
      <c r="H77" s="24">
        <v>2046</v>
      </c>
    </row>
    <row r="78" spans="1:8">
      <c r="A78" s="1" t="s">
        <v>68</v>
      </c>
      <c r="B78" s="23" t="s">
        <v>763</v>
      </c>
      <c r="C78" s="23" t="s">
        <v>7</v>
      </c>
      <c r="D78" s="23" t="s">
        <v>842</v>
      </c>
      <c r="E78" s="23" t="s">
        <v>92</v>
      </c>
      <c r="F78" s="23" t="s">
        <v>826</v>
      </c>
      <c r="G78" s="24">
        <v>4295.25</v>
      </c>
      <c r="H78" s="24">
        <v>4295.25</v>
      </c>
    </row>
    <row r="79" spans="1:8">
      <c r="A79" s="1" t="s">
        <v>68</v>
      </c>
      <c r="B79" s="23" t="s">
        <v>763</v>
      </c>
      <c r="C79" s="23" t="s">
        <v>7</v>
      </c>
      <c r="D79" s="23" t="s">
        <v>843</v>
      </c>
      <c r="E79" s="23" t="s">
        <v>719</v>
      </c>
      <c r="F79" s="23" t="s">
        <v>826</v>
      </c>
      <c r="G79" s="24">
        <v>4770.25</v>
      </c>
      <c r="H79" s="24">
        <v>4770.25</v>
      </c>
    </row>
    <row r="80" spans="1:8">
      <c r="A80" s="1" t="s">
        <v>68</v>
      </c>
      <c r="B80" s="23" t="s">
        <v>763</v>
      </c>
      <c r="C80" s="23" t="s">
        <v>7</v>
      </c>
      <c r="D80" s="23" t="s">
        <v>844</v>
      </c>
      <c r="E80" s="23" t="s">
        <v>120</v>
      </c>
      <c r="F80" s="23" t="s">
        <v>826</v>
      </c>
      <c r="G80" s="24">
        <v>4050.25</v>
      </c>
      <c r="H80" s="24">
        <v>4050.25</v>
      </c>
    </row>
    <row r="81" spans="1:8">
      <c r="A81" s="1" t="s">
        <v>68</v>
      </c>
      <c r="B81" s="23" t="s">
        <v>763</v>
      </c>
      <c r="C81" s="23" t="s">
        <v>7</v>
      </c>
      <c r="D81" s="23" t="s">
        <v>845</v>
      </c>
      <c r="E81" s="23" t="s">
        <v>720</v>
      </c>
      <c r="F81" s="23" t="s">
        <v>826</v>
      </c>
      <c r="G81" s="24">
        <v>4196.63</v>
      </c>
      <c r="H81" s="24">
        <v>4196.63</v>
      </c>
    </row>
    <row r="82" spans="1:8">
      <c r="A82" s="1" t="s">
        <v>68</v>
      </c>
      <c r="B82" s="23" t="s">
        <v>763</v>
      </c>
      <c r="C82" s="23" t="s">
        <v>7</v>
      </c>
      <c r="D82" s="23" t="s">
        <v>846</v>
      </c>
      <c r="E82" s="23" t="s">
        <v>62</v>
      </c>
      <c r="F82" s="23" t="s">
        <v>826</v>
      </c>
      <c r="G82" s="24">
        <v>5520.25</v>
      </c>
      <c r="H82" s="24">
        <v>5520.25</v>
      </c>
    </row>
    <row r="83" spans="1:8">
      <c r="A83" s="1" t="s">
        <v>68</v>
      </c>
      <c r="B83" s="23" t="s">
        <v>763</v>
      </c>
      <c r="C83" s="23" t="s">
        <v>7</v>
      </c>
      <c r="D83" s="23" t="s">
        <v>847</v>
      </c>
      <c r="E83" s="23" t="s">
        <v>589</v>
      </c>
      <c r="F83" s="23" t="s">
        <v>826</v>
      </c>
      <c r="G83" s="24">
        <v>4081</v>
      </c>
      <c r="H83" s="24">
        <v>4081</v>
      </c>
    </row>
    <row r="84" spans="1:8">
      <c r="A84" s="1" t="s">
        <v>68</v>
      </c>
      <c r="B84" s="23" t="s">
        <v>763</v>
      </c>
      <c r="C84" s="23" t="s">
        <v>7</v>
      </c>
      <c r="D84" s="23" t="s">
        <v>848</v>
      </c>
      <c r="E84" s="23" t="s">
        <v>680</v>
      </c>
      <c r="F84" s="23" t="s">
        <v>826</v>
      </c>
      <c r="G84" s="24">
        <v>3569</v>
      </c>
      <c r="H84" s="24">
        <v>3569</v>
      </c>
    </row>
    <row r="85" spans="1:8">
      <c r="A85" s="1" t="s">
        <v>68</v>
      </c>
      <c r="B85" s="23" t="s">
        <v>763</v>
      </c>
      <c r="C85" s="23" t="s">
        <v>7</v>
      </c>
      <c r="D85" s="23" t="s">
        <v>849</v>
      </c>
      <c r="E85" s="23" t="s">
        <v>774</v>
      </c>
      <c r="F85" s="23" t="s">
        <v>826</v>
      </c>
      <c r="G85" s="24">
        <v>2643.25</v>
      </c>
      <c r="H85" s="24">
        <v>2643.25</v>
      </c>
    </row>
    <row r="86" spans="1:8">
      <c r="A86" s="1" t="s">
        <v>68</v>
      </c>
      <c r="B86" s="23" t="s">
        <v>763</v>
      </c>
      <c r="C86" s="23" t="s">
        <v>7</v>
      </c>
      <c r="D86" s="23" t="s">
        <v>887</v>
      </c>
      <c r="E86" s="23" t="s">
        <v>50</v>
      </c>
      <c r="F86" s="23" t="s">
        <v>826</v>
      </c>
      <c r="G86" s="24">
        <v>569.61</v>
      </c>
      <c r="H86" s="24">
        <v>569.61</v>
      </c>
    </row>
    <row r="87" spans="1:8">
      <c r="A87" s="1" t="s">
        <v>68</v>
      </c>
      <c r="B87" s="23" t="s">
        <v>763</v>
      </c>
      <c r="C87" s="23" t="s">
        <v>7</v>
      </c>
      <c r="D87" s="23" t="s">
        <v>888</v>
      </c>
      <c r="E87" s="23" t="s">
        <v>85</v>
      </c>
      <c r="F87" s="23" t="s">
        <v>826</v>
      </c>
      <c r="G87" s="24">
        <v>717.92</v>
      </c>
      <c r="H87" s="24">
        <v>717.92</v>
      </c>
    </row>
    <row r="88" spans="1:8">
      <c r="A88" s="1" t="s">
        <v>68</v>
      </c>
      <c r="B88" s="23" t="s">
        <v>763</v>
      </c>
      <c r="C88" s="23" t="s">
        <v>7</v>
      </c>
      <c r="D88" s="23" t="s">
        <v>889</v>
      </c>
      <c r="E88" s="23" t="s">
        <v>103</v>
      </c>
      <c r="F88" s="23" t="s">
        <v>826</v>
      </c>
      <c r="G88" s="24">
        <v>4930.92</v>
      </c>
      <c r="H88" s="24">
        <v>4930.92</v>
      </c>
    </row>
    <row r="89" spans="1:8">
      <c r="A89" s="1" t="s">
        <v>68</v>
      </c>
      <c r="B89" s="23" t="s">
        <v>763</v>
      </c>
      <c r="C89" s="23" t="s">
        <v>7</v>
      </c>
      <c r="D89" s="23" t="s">
        <v>890</v>
      </c>
      <c r="E89" s="23" t="s">
        <v>83</v>
      </c>
      <c r="F89" s="23" t="s">
        <v>826</v>
      </c>
      <c r="G89" s="24">
        <v>5384.99</v>
      </c>
      <c r="H89" s="24">
        <v>5384.99</v>
      </c>
    </row>
    <row r="90" spans="1:8">
      <c r="A90" s="1" t="s">
        <v>68</v>
      </c>
      <c r="B90" s="23" t="s">
        <v>763</v>
      </c>
      <c r="C90" s="23" t="s">
        <v>7</v>
      </c>
      <c r="D90" s="23" t="s">
        <v>891</v>
      </c>
      <c r="E90" s="23" t="s">
        <v>93</v>
      </c>
      <c r="F90" s="23" t="s">
        <v>826</v>
      </c>
      <c r="G90" s="24">
        <v>2090.17</v>
      </c>
      <c r="H90" s="24">
        <v>2090.17</v>
      </c>
    </row>
    <row r="91" spans="1:8">
      <c r="A91" s="1" t="s">
        <v>68</v>
      </c>
      <c r="B91" s="23" t="s">
        <v>767</v>
      </c>
      <c r="C91" s="23" t="s">
        <v>7</v>
      </c>
      <c r="D91" s="23" t="s">
        <v>850</v>
      </c>
      <c r="E91" s="23" t="s">
        <v>169</v>
      </c>
      <c r="F91" s="23" t="s">
        <v>851</v>
      </c>
      <c r="G91" s="24">
        <v>1918.88</v>
      </c>
      <c r="H91" s="24">
        <v>1918.88</v>
      </c>
    </row>
    <row r="92" spans="1:8">
      <c r="A92" s="1" t="s">
        <v>68</v>
      </c>
      <c r="B92" s="23" t="s">
        <v>767</v>
      </c>
      <c r="C92" s="23" t="s">
        <v>7</v>
      </c>
      <c r="D92" s="23" t="s">
        <v>852</v>
      </c>
      <c r="E92" s="23" t="s">
        <v>853</v>
      </c>
      <c r="F92" s="23" t="s">
        <v>851</v>
      </c>
      <c r="G92" s="24">
        <v>1223</v>
      </c>
      <c r="H92" s="24">
        <v>1223</v>
      </c>
    </row>
    <row r="93" spans="1:8">
      <c r="A93" s="1" t="s">
        <v>68</v>
      </c>
      <c r="B93" s="23" t="s">
        <v>767</v>
      </c>
      <c r="C93" s="23" t="s">
        <v>7</v>
      </c>
      <c r="D93" s="23" t="s">
        <v>854</v>
      </c>
      <c r="E93" s="23" t="s">
        <v>163</v>
      </c>
      <c r="F93" s="23" t="s">
        <v>851</v>
      </c>
      <c r="G93" s="24">
        <v>1325.75</v>
      </c>
      <c r="H93" s="24">
        <v>1325.75</v>
      </c>
    </row>
    <row r="94" spans="1:8">
      <c r="A94" s="1" t="s">
        <v>68</v>
      </c>
      <c r="B94" s="23" t="s">
        <v>767</v>
      </c>
      <c r="C94" s="23" t="s">
        <v>7</v>
      </c>
      <c r="D94" s="23" t="s">
        <v>892</v>
      </c>
      <c r="E94" s="23" t="s">
        <v>281</v>
      </c>
      <c r="F94" s="23" t="s">
        <v>851</v>
      </c>
      <c r="G94" s="24">
        <v>1545.9</v>
      </c>
      <c r="H94" s="24">
        <v>1545.9</v>
      </c>
    </row>
    <row r="95" spans="1:8">
      <c r="A95" s="1" t="s">
        <v>68</v>
      </c>
      <c r="B95" s="23" t="s">
        <v>855</v>
      </c>
      <c r="C95" s="23" t="s">
        <v>7</v>
      </c>
      <c r="D95" s="23" t="s">
        <v>857</v>
      </c>
      <c r="E95" s="23" t="s">
        <v>94</v>
      </c>
      <c r="F95" s="23" t="s">
        <v>856</v>
      </c>
      <c r="G95" s="24">
        <v>7427.25</v>
      </c>
      <c r="H95" s="24">
        <v>7427.25</v>
      </c>
    </row>
    <row r="96" spans="1:8">
      <c r="A96" s="1" t="s">
        <v>68</v>
      </c>
      <c r="B96" s="23" t="s">
        <v>855</v>
      </c>
      <c r="C96" s="23" t="s">
        <v>7</v>
      </c>
      <c r="D96" s="23" t="s">
        <v>858</v>
      </c>
      <c r="E96" s="23" t="s">
        <v>169</v>
      </c>
      <c r="F96" s="23" t="s">
        <v>856</v>
      </c>
      <c r="G96" s="24">
        <v>1893.88</v>
      </c>
      <c r="H96" s="24">
        <v>1893.88</v>
      </c>
    </row>
    <row r="97" spans="1:8">
      <c r="A97" s="1" t="s">
        <v>68</v>
      </c>
      <c r="B97" s="23" t="s">
        <v>855</v>
      </c>
      <c r="C97" s="23" t="s">
        <v>7</v>
      </c>
      <c r="D97" s="23" t="s">
        <v>893</v>
      </c>
      <c r="E97" s="23" t="s">
        <v>407</v>
      </c>
      <c r="F97" s="23" t="s">
        <v>856</v>
      </c>
      <c r="G97" s="24">
        <v>376.03</v>
      </c>
      <c r="H97" s="24">
        <v>376.03</v>
      </c>
    </row>
    <row r="98" spans="1:8">
      <c r="A98" s="1" t="s">
        <v>68</v>
      </c>
      <c r="B98" s="23" t="s">
        <v>859</v>
      </c>
      <c r="C98" s="23" t="s">
        <v>7</v>
      </c>
      <c r="D98" s="23" t="s">
        <v>860</v>
      </c>
      <c r="E98" s="23" t="s">
        <v>92</v>
      </c>
      <c r="F98" s="23" t="s">
        <v>861</v>
      </c>
      <c r="G98" s="24">
        <v>9685.75</v>
      </c>
      <c r="H98" s="24">
        <v>9685.75</v>
      </c>
    </row>
    <row r="99" spans="1:8">
      <c r="A99" s="1" t="s">
        <v>68</v>
      </c>
      <c r="B99" s="23" t="s">
        <v>859</v>
      </c>
      <c r="C99" s="23" t="s">
        <v>7</v>
      </c>
      <c r="D99" s="23" t="s">
        <v>862</v>
      </c>
      <c r="E99" s="23" t="s">
        <v>640</v>
      </c>
      <c r="F99" s="23" t="s">
        <v>861</v>
      </c>
      <c r="G99" s="24">
        <v>2740.5</v>
      </c>
      <c r="H99" s="24">
        <v>2740.5</v>
      </c>
    </row>
    <row r="100" spans="1:8">
      <c r="A100" s="1" t="s">
        <v>68</v>
      </c>
      <c r="B100" s="23" t="s">
        <v>859</v>
      </c>
      <c r="C100" s="23" t="s">
        <v>7</v>
      </c>
      <c r="D100" s="23" t="s">
        <v>863</v>
      </c>
      <c r="E100" s="23" t="s">
        <v>804</v>
      </c>
      <c r="F100" s="23" t="s">
        <v>861</v>
      </c>
      <c r="G100" s="24">
        <v>1323</v>
      </c>
      <c r="H100" s="24">
        <v>1223</v>
      </c>
    </row>
    <row r="101" spans="1:8">
      <c r="A101" s="1" t="s">
        <v>68</v>
      </c>
      <c r="B101" s="23" t="s">
        <v>859</v>
      </c>
      <c r="C101" s="23" t="s">
        <v>7</v>
      </c>
      <c r="D101" s="23" t="s">
        <v>864</v>
      </c>
      <c r="E101" s="23" t="s">
        <v>758</v>
      </c>
      <c r="F101" s="23" t="s">
        <v>861</v>
      </c>
      <c r="G101" s="24">
        <v>3770.25</v>
      </c>
      <c r="H101" s="24">
        <v>3770.25</v>
      </c>
    </row>
    <row r="102" spans="1:8">
      <c r="A102" s="1" t="s">
        <v>68</v>
      </c>
      <c r="B102" s="23" t="s">
        <v>859</v>
      </c>
      <c r="C102" s="23" t="s">
        <v>7</v>
      </c>
      <c r="D102" s="23" t="s">
        <v>865</v>
      </c>
      <c r="E102" s="23" t="s">
        <v>744</v>
      </c>
      <c r="F102" s="23" t="s">
        <v>861</v>
      </c>
      <c r="G102" s="24">
        <v>2646</v>
      </c>
      <c r="H102" s="24">
        <v>2646</v>
      </c>
    </row>
    <row r="103" spans="1:8">
      <c r="A103" s="1" t="s">
        <v>68</v>
      </c>
      <c r="B103" s="23" t="s">
        <v>859</v>
      </c>
      <c r="C103" s="23" t="s">
        <v>7</v>
      </c>
      <c r="D103" s="23" t="s">
        <v>866</v>
      </c>
      <c r="E103" s="23" t="s">
        <v>867</v>
      </c>
      <c r="F103" s="23" t="s">
        <v>861</v>
      </c>
      <c r="G103" s="24">
        <v>1121.6300000000001</v>
      </c>
      <c r="H103" s="24">
        <v>1121.6300000000001</v>
      </c>
    </row>
    <row r="104" spans="1:8">
      <c r="A104" s="1" t="s">
        <v>68</v>
      </c>
      <c r="B104" s="23" t="s">
        <v>859</v>
      </c>
      <c r="C104" s="23" t="s">
        <v>7</v>
      </c>
      <c r="D104" s="23" t="s">
        <v>868</v>
      </c>
      <c r="E104" s="23" t="s">
        <v>34</v>
      </c>
      <c r="F104" s="23" t="s">
        <v>861</v>
      </c>
      <c r="G104" s="24">
        <v>6092</v>
      </c>
      <c r="H104" s="24">
        <v>6092</v>
      </c>
    </row>
    <row r="105" spans="1:8">
      <c r="A105" s="1" t="s">
        <v>68</v>
      </c>
      <c r="B105" s="23" t="s">
        <v>859</v>
      </c>
      <c r="C105" s="23" t="s">
        <v>7</v>
      </c>
      <c r="D105" s="23" t="s">
        <v>869</v>
      </c>
      <c r="E105" s="23" t="s">
        <v>650</v>
      </c>
      <c r="F105" s="23" t="s">
        <v>861</v>
      </c>
      <c r="G105" s="24">
        <v>4532</v>
      </c>
      <c r="H105" s="24">
        <v>4532</v>
      </c>
    </row>
    <row r="106" spans="1:8">
      <c r="A106" s="1" t="s">
        <v>68</v>
      </c>
      <c r="B106" s="23" t="s">
        <v>859</v>
      </c>
      <c r="C106" s="23" t="s">
        <v>7</v>
      </c>
      <c r="D106" s="23" t="s">
        <v>870</v>
      </c>
      <c r="E106" s="23" t="s">
        <v>260</v>
      </c>
      <c r="F106" s="23" t="s">
        <v>861</v>
      </c>
      <c r="G106" s="24">
        <v>2551.5</v>
      </c>
      <c r="H106" s="24">
        <v>2551.5</v>
      </c>
    </row>
    <row r="107" spans="1:8">
      <c r="A107" s="1" t="s">
        <v>68</v>
      </c>
      <c r="B107" s="23" t="s">
        <v>859</v>
      </c>
      <c r="C107" s="23" t="s">
        <v>7</v>
      </c>
      <c r="D107" s="23" t="s">
        <v>871</v>
      </c>
      <c r="E107" s="23" t="s">
        <v>114</v>
      </c>
      <c r="F107" s="23" t="s">
        <v>861</v>
      </c>
      <c r="G107" s="24">
        <v>3775.75</v>
      </c>
      <c r="H107" s="24">
        <v>3775.75</v>
      </c>
    </row>
    <row r="108" spans="1:8">
      <c r="A108" s="1" t="s">
        <v>68</v>
      </c>
      <c r="B108" s="23" t="s">
        <v>859</v>
      </c>
      <c r="C108" s="23" t="s">
        <v>7</v>
      </c>
      <c r="D108" s="23" t="s">
        <v>872</v>
      </c>
      <c r="E108" s="23" t="s">
        <v>835</v>
      </c>
      <c r="F108" s="23" t="s">
        <v>861</v>
      </c>
      <c r="G108" s="24">
        <v>1223</v>
      </c>
      <c r="H108" s="24">
        <v>1223</v>
      </c>
    </row>
    <row r="109" spans="1:8">
      <c r="A109" s="1" t="s">
        <v>68</v>
      </c>
      <c r="B109" s="23" t="s">
        <v>859</v>
      </c>
      <c r="C109" s="23" t="s">
        <v>7</v>
      </c>
      <c r="D109" s="23" t="s">
        <v>873</v>
      </c>
      <c r="E109" s="23" t="s">
        <v>853</v>
      </c>
      <c r="F109" s="23" t="s">
        <v>861</v>
      </c>
      <c r="G109" s="24">
        <v>1223</v>
      </c>
      <c r="H109" s="24">
        <v>1223</v>
      </c>
    </row>
    <row r="110" spans="1:8">
      <c r="A110" s="1" t="s">
        <v>68</v>
      </c>
      <c r="B110" s="23" t="s">
        <v>859</v>
      </c>
      <c r="C110" s="23" t="s">
        <v>7</v>
      </c>
      <c r="D110" s="23" t="s">
        <v>874</v>
      </c>
      <c r="E110" s="23" t="s">
        <v>83</v>
      </c>
      <c r="F110" s="23" t="s">
        <v>861</v>
      </c>
      <c r="G110" s="24">
        <v>2243.25</v>
      </c>
      <c r="H110" s="24">
        <v>2243.25</v>
      </c>
    </row>
    <row r="111" spans="1:8">
      <c r="A111" s="1" t="s">
        <v>68</v>
      </c>
      <c r="B111" s="23" t="s">
        <v>859</v>
      </c>
      <c r="C111" s="23" t="s">
        <v>7</v>
      </c>
      <c r="D111" s="23" t="s">
        <v>875</v>
      </c>
      <c r="E111" s="23" t="s">
        <v>876</v>
      </c>
      <c r="F111" s="23" t="s">
        <v>861</v>
      </c>
      <c r="G111" s="24">
        <v>2637.75</v>
      </c>
      <c r="H111" s="24">
        <v>2637.75</v>
      </c>
    </row>
    <row r="112" spans="1:8">
      <c r="A112" s="1" t="s">
        <v>68</v>
      </c>
      <c r="B112" s="23" t="s">
        <v>859</v>
      </c>
      <c r="C112" s="23" t="s">
        <v>7</v>
      </c>
      <c r="D112" s="23" t="s">
        <v>877</v>
      </c>
      <c r="E112" s="23" t="s">
        <v>155</v>
      </c>
      <c r="F112" s="23" t="s">
        <v>861</v>
      </c>
      <c r="G112" s="24">
        <v>1375.75</v>
      </c>
      <c r="H112" s="24">
        <v>1375.75</v>
      </c>
    </row>
    <row r="113" spans="1:8">
      <c r="A113" s="1" t="s">
        <v>68</v>
      </c>
      <c r="B113" s="23" t="s">
        <v>859</v>
      </c>
      <c r="C113" s="23" t="s">
        <v>7</v>
      </c>
      <c r="D113" s="23" t="s">
        <v>907</v>
      </c>
      <c r="E113" s="23" t="s">
        <v>307</v>
      </c>
      <c r="F113" s="23" t="s">
        <v>861</v>
      </c>
      <c r="G113" s="24">
        <v>1675.75</v>
      </c>
      <c r="H113" s="24">
        <v>1675.75</v>
      </c>
    </row>
    <row r="114" spans="1:8">
      <c r="A114" s="1" t="s">
        <v>68</v>
      </c>
      <c r="B114" s="23" t="s">
        <v>859</v>
      </c>
      <c r="C114" s="23" t="s">
        <v>7</v>
      </c>
      <c r="D114" s="23" t="s">
        <v>878</v>
      </c>
      <c r="E114" s="23" t="s">
        <v>281</v>
      </c>
      <c r="F114" s="23" t="s">
        <v>861</v>
      </c>
      <c r="G114" s="24">
        <v>2627.89</v>
      </c>
      <c r="H114" s="24">
        <v>2627.89</v>
      </c>
    </row>
    <row r="115" spans="1:8">
      <c r="A115" s="1" t="s">
        <v>68</v>
      </c>
      <c r="B115" s="23" t="s">
        <v>859</v>
      </c>
      <c r="C115" s="23" t="s">
        <v>7</v>
      </c>
      <c r="D115" s="23" t="s">
        <v>879</v>
      </c>
      <c r="E115" s="23" t="s">
        <v>680</v>
      </c>
      <c r="F115" s="23" t="s">
        <v>861</v>
      </c>
      <c r="G115" s="24">
        <v>2646</v>
      </c>
      <c r="H115" s="24">
        <v>2646</v>
      </c>
    </row>
    <row r="116" spans="1:8">
      <c r="A116" s="1" t="s">
        <v>68</v>
      </c>
      <c r="B116" s="23" t="s">
        <v>859</v>
      </c>
      <c r="C116" s="23" t="s">
        <v>7</v>
      </c>
      <c r="D116" s="23" t="s">
        <v>894</v>
      </c>
      <c r="E116" s="23" t="s">
        <v>690</v>
      </c>
      <c r="F116" s="23" t="s">
        <v>861</v>
      </c>
      <c r="G116" s="24">
        <v>772.66</v>
      </c>
      <c r="H116" s="24">
        <v>772.66</v>
      </c>
    </row>
    <row r="117" spans="1:8">
      <c r="A117" s="1" t="s">
        <v>68</v>
      </c>
      <c r="B117" s="23" t="s">
        <v>859</v>
      </c>
      <c r="C117" s="23" t="s">
        <v>7</v>
      </c>
      <c r="D117" s="23" t="s">
        <v>895</v>
      </c>
      <c r="E117" s="23" t="s">
        <v>110</v>
      </c>
      <c r="F117" s="23" t="s">
        <v>861</v>
      </c>
      <c r="G117" s="24">
        <v>2916.33</v>
      </c>
      <c r="H117" s="24">
        <v>2916.33</v>
      </c>
    </row>
    <row r="118" spans="1:8">
      <c r="A118" s="1" t="s">
        <v>68</v>
      </c>
      <c r="B118" s="23" t="s">
        <v>775</v>
      </c>
      <c r="C118" s="23" t="s">
        <v>7</v>
      </c>
      <c r="D118" s="23" t="s">
        <v>897</v>
      </c>
      <c r="E118" s="23" t="s">
        <v>532</v>
      </c>
      <c r="F118" s="23" t="s">
        <v>896</v>
      </c>
      <c r="G118" s="24">
        <v>2140.5</v>
      </c>
      <c r="H118" s="24">
        <v>2140.5</v>
      </c>
    </row>
    <row r="119" spans="1:8">
      <c r="A119" s="1" t="s">
        <v>68</v>
      </c>
      <c r="B119" s="23" t="s">
        <v>775</v>
      </c>
      <c r="C119" s="23" t="s">
        <v>7</v>
      </c>
      <c r="D119" s="23" t="s">
        <v>898</v>
      </c>
      <c r="E119" s="23" t="s">
        <v>108</v>
      </c>
      <c r="F119" s="23" t="s">
        <v>896</v>
      </c>
      <c r="G119" s="24">
        <v>2351.5</v>
      </c>
      <c r="H119" s="24">
        <v>2351.5</v>
      </c>
    </row>
    <row r="120" spans="1:8">
      <c r="A120" s="1" t="s">
        <v>68</v>
      </c>
      <c r="B120" s="23" t="s">
        <v>775</v>
      </c>
      <c r="C120" s="23" t="s">
        <v>7</v>
      </c>
      <c r="D120" s="23" t="s">
        <v>899</v>
      </c>
      <c r="E120" s="23" t="s">
        <v>774</v>
      </c>
      <c r="F120" s="23" t="s">
        <v>896</v>
      </c>
      <c r="G120" s="24">
        <v>3964.88</v>
      </c>
      <c r="H120" s="24">
        <v>3964.88</v>
      </c>
    </row>
    <row r="121" spans="1:8">
      <c r="A121" s="1" t="s">
        <v>68</v>
      </c>
      <c r="B121" s="23" t="s">
        <v>775</v>
      </c>
      <c r="C121" s="23" t="s">
        <v>7</v>
      </c>
      <c r="D121" s="23" t="s">
        <v>900</v>
      </c>
      <c r="E121" s="23" t="s">
        <v>719</v>
      </c>
      <c r="F121" s="23" t="s">
        <v>896</v>
      </c>
      <c r="G121" s="24">
        <v>1320.25</v>
      </c>
      <c r="H121" s="24">
        <v>1320.25</v>
      </c>
    </row>
    <row r="122" spans="1:8">
      <c r="A122" s="1" t="s">
        <v>68</v>
      </c>
      <c r="B122" s="23" t="s">
        <v>738</v>
      </c>
      <c r="C122" s="23" t="s">
        <v>7</v>
      </c>
      <c r="D122" s="23" t="s">
        <v>792</v>
      </c>
      <c r="E122" s="23" t="s">
        <v>115</v>
      </c>
      <c r="F122" s="23" t="s">
        <v>793</v>
      </c>
      <c r="G122" s="24">
        <v>4127.25</v>
      </c>
      <c r="H122" s="24">
        <v>4127.25</v>
      </c>
    </row>
    <row r="123" spans="1:8">
      <c r="A123" s="1" t="s">
        <v>68</v>
      </c>
      <c r="B123" s="23" t="s">
        <v>740</v>
      </c>
      <c r="C123" s="23" t="s">
        <v>7</v>
      </c>
      <c r="D123" s="23" t="s">
        <v>908</v>
      </c>
      <c r="E123" s="23" t="s">
        <v>49</v>
      </c>
      <c r="F123" s="23" t="s">
        <v>793</v>
      </c>
      <c r="G123" s="24">
        <v>3373.26</v>
      </c>
      <c r="H123" s="24">
        <v>3373.26</v>
      </c>
    </row>
    <row r="124" spans="1:8">
      <c r="A124" s="1" t="s">
        <v>68</v>
      </c>
      <c r="B124" s="23" t="s">
        <v>901</v>
      </c>
      <c r="C124" s="23" t="s">
        <v>7</v>
      </c>
      <c r="D124" s="23" t="s">
        <v>902</v>
      </c>
      <c r="E124" s="23" t="s">
        <v>120</v>
      </c>
      <c r="F124" s="23" t="s">
        <v>903</v>
      </c>
      <c r="G124" s="24">
        <v>1235.25</v>
      </c>
      <c r="H124" s="24">
        <v>1235.25</v>
      </c>
    </row>
    <row r="125" spans="1:8">
      <c r="A125" s="1" t="s">
        <v>68</v>
      </c>
      <c r="B125" s="23" t="s">
        <v>901</v>
      </c>
      <c r="C125" s="23" t="s">
        <v>7</v>
      </c>
      <c r="D125" s="23" t="s">
        <v>904</v>
      </c>
      <c r="E125" s="23" t="s">
        <v>679</v>
      </c>
      <c r="F125" s="23" t="s">
        <v>903</v>
      </c>
      <c r="G125" s="24">
        <v>1135.75</v>
      </c>
      <c r="H125" s="24">
        <v>1135.75</v>
      </c>
    </row>
    <row r="126" spans="1:8">
      <c r="A126" s="1" t="s">
        <v>68</v>
      </c>
      <c r="B126" s="23" t="s">
        <v>901</v>
      </c>
      <c r="C126" s="23" t="s">
        <v>7</v>
      </c>
      <c r="D126" s="23" t="s">
        <v>905</v>
      </c>
      <c r="E126" s="23" t="s">
        <v>679</v>
      </c>
      <c r="F126" s="23" t="s">
        <v>903</v>
      </c>
      <c r="G126" s="24">
        <v>1325.75</v>
      </c>
      <c r="H126" s="24">
        <v>1325.75</v>
      </c>
    </row>
    <row r="127" spans="1:8">
      <c r="A127" s="1" t="s">
        <v>68</v>
      </c>
      <c r="B127" s="23" t="s">
        <v>901</v>
      </c>
      <c r="C127" s="23" t="s">
        <v>7</v>
      </c>
      <c r="D127" s="23" t="s">
        <v>906</v>
      </c>
      <c r="E127" s="23" t="s">
        <v>49</v>
      </c>
      <c r="F127" s="23" t="s">
        <v>903</v>
      </c>
      <c r="G127" s="24">
        <v>693.88</v>
      </c>
      <c r="H127" s="24">
        <v>693.88</v>
      </c>
    </row>
    <row r="128" spans="1:8">
      <c r="A128" s="1" t="s">
        <v>68</v>
      </c>
      <c r="B128" s="23" t="s">
        <v>901</v>
      </c>
      <c r="C128" s="23" t="s">
        <v>7</v>
      </c>
      <c r="D128" s="23" t="s">
        <v>909</v>
      </c>
      <c r="E128" s="23" t="s">
        <v>433</v>
      </c>
      <c r="F128" s="23" t="s">
        <v>903</v>
      </c>
      <c r="G128" s="24">
        <v>695.72</v>
      </c>
      <c r="H128" s="24">
        <v>695.72</v>
      </c>
    </row>
    <row r="129" spans="1:8">
      <c r="A129" s="1" t="s">
        <v>68</v>
      </c>
      <c r="B129" s="23" t="s">
        <v>910</v>
      </c>
      <c r="C129" s="23" t="s">
        <v>7</v>
      </c>
      <c r="D129" s="23" t="s">
        <v>911</v>
      </c>
      <c r="E129" s="23" t="s">
        <v>685</v>
      </c>
      <c r="F129" s="23" t="s">
        <v>912</v>
      </c>
      <c r="G129" s="24">
        <v>2348.75</v>
      </c>
      <c r="H129" s="24">
        <v>2348.75</v>
      </c>
    </row>
    <row r="130" spans="1:8">
      <c r="A130" s="1" t="s">
        <v>68</v>
      </c>
      <c r="B130" s="23" t="s">
        <v>910</v>
      </c>
      <c r="C130" s="23" t="s">
        <v>7</v>
      </c>
      <c r="D130" s="23" t="s">
        <v>913</v>
      </c>
      <c r="E130" s="23" t="s">
        <v>724</v>
      </c>
      <c r="F130" s="23" t="s">
        <v>912</v>
      </c>
      <c r="G130" s="24">
        <v>2330.25</v>
      </c>
      <c r="H130" s="24">
        <v>2330.25</v>
      </c>
    </row>
    <row r="131" spans="1:8">
      <c r="A131" s="1" t="s">
        <v>68</v>
      </c>
      <c r="B131" s="23" t="s">
        <v>910</v>
      </c>
      <c r="C131" s="23" t="s">
        <v>7</v>
      </c>
      <c r="D131" s="23" t="s">
        <v>914</v>
      </c>
      <c r="E131" s="23" t="s">
        <v>93</v>
      </c>
      <c r="F131" s="23" t="s">
        <v>912</v>
      </c>
      <c r="G131" s="24">
        <v>738.53</v>
      </c>
      <c r="H131" s="24">
        <v>738.53</v>
      </c>
    </row>
    <row r="132" spans="1:8">
      <c r="A132" s="1" t="s">
        <v>68</v>
      </c>
      <c r="B132" s="23" t="s">
        <v>789</v>
      </c>
      <c r="C132" s="23" t="s">
        <v>7</v>
      </c>
      <c r="D132" s="23" t="s">
        <v>915</v>
      </c>
      <c r="E132" s="23" t="s">
        <v>179</v>
      </c>
      <c r="F132" s="23" t="s">
        <v>916</v>
      </c>
      <c r="G132" s="24">
        <v>1370.25</v>
      </c>
      <c r="H132" s="24">
        <v>1370.25</v>
      </c>
    </row>
    <row r="133" spans="1:8">
      <c r="A133" s="1" t="s">
        <v>68</v>
      </c>
      <c r="B133" s="23" t="s">
        <v>789</v>
      </c>
      <c r="C133" s="23" t="s">
        <v>7</v>
      </c>
      <c r="D133" s="23" t="s">
        <v>917</v>
      </c>
      <c r="E133" s="23" t="s">
        <v>179</v>
      </c>
      <c r="F133" s="23" t="s">
        <v>916</v>
      </c>
      <c r="G133" s="24">
        <v>1370.25</v>
      </c>
      <c r="H133" s="24">
        <v>1370.25</v>
      </c>
    </row>
    <row r="134" spans="1:8">
      <c r="A134" s="1" t="s">
        <v>68</v>
      </c>
      <c r="B134" s="23" t="s">
        <v>789</v>
      </c>
      <c r="C134" s="23" t="s">
        <v>7</v>
      </c>
      <c r="D134" s="23" t="s">
        <v>918</v>
      </c>
      <c r="E134" s="23" t="s">
        <v>179</v>
      </c>
      <c r="F134" s="23" t="s">
        <v>916</v>
      </c>
      <c r="G134" s="24">
        <v>1370.25</v>
      </c>
      <c r="H134" s="24">
        <v>1370.25</v>
      </c>
    </row>
    <row r="135" spans="1:8">
      <c r="A135" s="1" t="s">
        <v>68</v>
      </c>
      <c r="B135" s="23" t="s">
        <v>789</v>
      </c>
      <c r="C135" s="23" t="s">
        <v>7</v>
      </c>
      <c r="D135" s="23" t="s">
        <v>919</v>
      </c>
      <c r="E135" s="23" t="s">
        <v>179</v>
      </c>
      <c r="F135" s="23" t="s">
        <v>916</v>
      </c>
      <c r="G135" s="24">
        <v>1370.25</v>
      </c>
      <c r="H135" s="24">
        <v>1370.25</v>
      </c>
    </row>
    <row r="136" spans="1:8">
      <c r="A136" s="1" t="s">
        <v>68</v>
      </c>
      <c r="B136" s="23" t="s">
        <v>789</v>
      </c>
      <c r="C136" s="23" t="s">
        <v>7</v>
      </c>
      <c r="D136" s="23" t="s">
        <v>920</v>
      </c>
      <c r="E136" s="23" t="s">
        <v>93</v>
      </c>
      <c r="F136" s="23" t="s">
        <v>916</v>
      </c>
      <c r="G136" s="24">
        <v>1361.28</v>
      </c>
      <c r="H136" s="24">
        <v>1361.28</v>
      </c>
    </row>
    <row r="137" spans="1:8">
      <c r="A137" s="1" t="s">
        <v>68</v>
      </c>
      <c r="B137" s="23" t="s">
        <v>789</v>
      </c>
      <c r="C137" s="23" t="s">
        <v>7</v>
      </c>
      <c r="D137" s="23" t="s">
        <v>921</v>
      </c>
      <c r="E137" s="23" t="s">
        <v>108</v>
      </c>
      <c r="F137" s="23" t="s">
        <v>916</v>
      </c>
      <c r="G137" s="24">
        <v>1175.75</v>
      </c>
      <c r="H137" s="24">
        <v>1175.75</v>
      </c>
    </row>
    <row r="138" spans="1:8">
      <c r="A138" s="1" t="s">
        <v>68</v>
      </c>
      <c r="B138" s="23" t="s">
        <v>789</v>
      </c>
      <c r="C138" s="23" t="s">
        <v>7</v>
      </c>
      <c r="D138" s="23" t="s">
        <v>922</v>
      </c>
      <c r="E138" s="23" t="s">
        <v>923</v>
      </c>
      <c r="F138" s="23" t="s">
        <v>916</v>
      </c>
      <c r="G138" s="24">
        <v>1370.25</v>
      </c>
      <c r="H138" s="24">
        <v>1370.25</v>
      </c>
    </row>
    <row r="139" spans="1:8">
      <c r="A139" s="1" t="s">
        <v>68</v>
      </c>
      <c r="B139" s="23" t="s">
        <v>789</v>
      </c>
      <c r="C139" s="23" t="s">
        <v>7</v>
      </c>
      <c r="D139" s="23" t="s">
        <v>924</v>
      </c>
      <c r="E139" s="23" t="s">
        <v>925</v>
      </c>
      <c r="F139" s="23" t="s">
        <v>916</v>
      </c>
      <c r="G139" s="24">
        <v>1563</v>
      </c>
      <c r="H139" s="24">
        <v>1563</v>
      </c>
    </row>
    <row r="140" spans="1:8">
      <c r="A140" s="1" t="s">
        <v>68</v>
      </c>
      <c r="B140" s="23" t="s">
        <v>789</v>
      </c>
      <c r="C140" s="23" t="s">
        <v>7</v>
      </c>
      <c r="D140" s="23" t="s">
        <v>926</v>
      </c>
      <c r="E140" s="23" t="s">
        <v>63</v>
      </c>
      <c r="F140" s="23" t="s">
        <v>916</v>
      </c>
      <c r="G140" s="24">
        <v>7743.25</v>
      </c>
      <c r="H140" s="24">
        <v>7743.25</v>
      </c>
    </row>
    <row r="141" spans="1:8">
      <c r="A141" s="1" t="s">
        <v>68</v>
      </c>
      <c r="B141" s="23" t="s">
        <v>789</v>
      </c>
      <c r="C141" s="23" t="s">
        <v>7</v>
      </c>
      <c r="D141" s="23" t="s">
        <v>961</v>
      </c>
      <c r="E141" s="23" t="s">
        <v>349</v>
      </c>
      <c r="F141" s="23" t="s">
        <v>916</v>
      </c>
      <c r="G141" s="24">
        <v>1430.52</v>
      </c>
      <c r="H141" s="24">
        <v>1430.52</v>
      </c>
    </row>
    <row r="142" spans="1:8">
      <c r="A142" s="1" t="s">
        <v>68</v>
      </c>
      <c r="B142" s="23" t="s">
        <v>791</v>
      </c>
      <c r="C142" s="23" t="s">
        <v>7</v>
      </c>
      <c r="D142" s="23" t="s">
        <v>927</v>
      </c>
      <c r="E142" s="23" t="s">
        <v>108</v>
      </c>
      <c r="F142" s="23" t="s">
        <v>928</v>
      </c>
      <c r="G142" s="24">
        <v>4703</v>
      </c>
      <c r="H142" s="24">
        <v>4703</v>
      </c>
    </row>
    <row r="143" spans="1:8">
      <c r="A143" s="1" t="s">
        <v>68</v>
      </c>
      <c r="B143" s="23" t="s">
        <v>791</v>
      </c>
      <c r="C143" s="23" t="s">
        <v>7</v>
      </c>
      <c r="D143" s="23" t="s">
        <v>929</v>
      </c>
      <c r="E143" s="23" t="s">
        <v>83</v>
      </c>
      <c r="F143" s="23" t="s">
        <v>928</v>
      </c>
      <c r="G143" s="24">
        <v>1021.63</v>
      </c>
      <c r="H143" s="24">
        <v>1021.63</v>
      </c>
    </row>
    <row r="144" spans="1:8">
      <c r="A144" s="1" t="s">
        <v>68</v>
      </c>
      <c r="B144" s="23" t="s">
        <v>791</v>
      </c>
      <c r="C144" s="23" t="s">
        <v>7</v>
      </c>
      <c r="D144" s="23" t="s">
        <v>930</v>
      </c>
      <c r="E144" s="23" t="s">
        <v>732</v>
      </c>
      <c r="F144" s="23" t="s">
        <v>928</v>
      </c>
      <c r="G144" s="24">
        <v>1021.63</v>
      </c>
      <c r="H144" s="24">
        <v>1021.63</v>
      </c>
    </row>
    <row r="145" spans="1:8">
      <c r="A145" s="1" t="s">
        <v>68</v>
      </c>
      <c r="B145" s="23" t="s">
        <v>791</v>
      </c>
      <c r="C145" s="23" t="s">
        <v>7</v>
      </c>
      <c r="D145" s="23" t="s">
        <v>931</v>
      </c>
      <c r="E145" s="23" t="s">
        <v>83</v>
      </c>
      <c r="F145" s="23" t="s">
        <v>928</v>
      </c>
      <c r="G145" s="24">
        <v>1121.6300000000001</v>
      </c>
      <c r="H145" s="24">
        <v>1121.6300000000001</v>
      </c>
    </row>
    <row r="146" spans="1:8">
      <c r="A146" s="1" t="s">
        <v>68</v>
      </c>
      <c r="B146" s="23" t="s">
        <v>791</v>
      </c>
      <c r="C146" s="23" t="s">
        <v>7</v>
      </c>
      <c r="D146" s="23" t="s">
        <v>932</v>
      </c>
      <c r="E146" s="23" t="s">
        <v>34</v>
      </c>
      <c r="F146" s="23" t="s">
        <v>928</v>
      </c>
      <c r="G146" s="24">
        <v>4621.8</v>
      </c>
      <c r="H146" s="24">
        <v>4621.8</v>
      </c>
    </row>
    <row r="147" spans="1:8">
      <c r="A147" s="1" t="s">
        <v>68</v>
      </c>
      <c r="B147" s="23" t="s">
        <v>791</v>
      </c>
      <c r="C147" s="23" t="s">
        <v>7</v>
      </c>
      <c r="D147" s="23" t="s">
        <v>933</v>
      </c>
      <c r="E147" s="23" t="s">
        <v>96</v>
      </c>
      <c r="F147" s="23" t="s">
        <v>928</v>
      </c>
      <c r="G147" s="24">
        <v>7101.25</v>
      </c>
      <c r="H147" s="24">
        <v>7101.25</v>
      </c>
    </row>
    <row r="148" spans="1:8">
      <c r="A148" s="1" t="s">
        <v>68</v>
      </c>
      <c r="B148" s="23" t="s">
        <v>791</v>
      </c>
      <c r="C148" s="23" t="s">
        <v>7</v>
      </c>
      <c r="D148" s="23" t="s">
        <v>934</v>
      </c>
      <c r="E148" s="23" t="s">
        <v>49</v>
      </c>
      <c r="F148" s="23" t="s">
        <v>928</v>
      </c>
      <c r="G148" s="24">
        <v>5854.38</v>
      </c>
      <c r="H148" s="24">
        <v>5854.38</v>
      </c>
    </row>
    <row r="149" spans="1:8">
      <c r="A149" s="1" t="s">
        <v>68</v>
      </c>
      <c r="B149" s="23" t="s">
        <v>791</v>
      </c>
      <c r="C149" s="23" t="s">
        <v>7</v>
      </c>
      <c r="D149" s="23" t="s">
        <v>935</v>
      </c>
      <c r="E149" s="23" t="s">
        <v>679</v>
      </c>
      <c r="F149" s="23" t="s">
        <v>928</v>
      </c>
      <c r="G149" s="24">
        <v>1325.75</v>
      </c>
      <c r="H149" s="24">
        <v>1325.75</v>
      </c>
    </row>
    <row r="150" spans="1:8">
      <c r="A150" s="1" t="s">
        <v>68</v>
      </c>
      <c r="B150" s="23" t="s">
        <v>791</v>
      </c>
      <c r="C150" s="23" t="s">
        <v>7</v>
      </c>
      <c r="D150" s="23" t="s">
        <v>936</v>
      </c>
      <c r="E150" s="23" t="s">
        <v>644</v>
      </c>
      <c r="F150" s="23" t="s">
        <v>928</v>
      </c>
      <c r="G150" s="24">
        <v>3043.25</v>
      </c>
      <c r="H150" s="24">
        <v>3043.25</v>
      </c>
    </row>
    <row r="151" spans="1:8">
      <c r="A151" s="1" t="s">
        <v>68</v>
      </c>
      <c r="B151" s="23" t="s">
        <v>791</v>
      </c>
      <c r="C151" s="23" t="s">
        <v>7</v>
      </c>
      <c r="D151" s="23" t="s">
        <v>937</v>
      </c>
      <c r="E151" s="23" t="s">
        <v>80</v>
      </c>
      <c r="F151" s="23" t="s">
        <v>928</v>
      </c>
      <c r="G151" s="24">
        <v>2251.5</v>
      </c>
      <c r="H151" s="24">
        <v>2251.5</v>
      </c>
    </row>
    <row r="152" spans="1:8">
      <c r="A152" s="1" t="s">
        <v>68</v>
      </c>
      <c r="B152" s="23" t="s">
        <v>791</v>
      </c>
      <c r="C152" s="23" t="s">
        <v>7</v>
      </c>
      <c r="D152" s="23" t="s">
        <v>938</v>
      </c>
      <c r="E152" s="23" t="s">
        <v>939</v>
      </c>
      <c r="F152" s="23" t="s">
        <v>928</v>
      </c>
      <c r="G152" s="24">
        <v>1520.25</v>
      </c>
      <c r="H152" s="24">
        <v>1520.25</v>
      </c>
    </row>
    <row r="153" spans="1:8">
      <c r="A153" s="1" t="s">
        <v>68</v>
      </c>
      <c r="B153" s="23" t="s">
        <v>791</v>
      </c>
      <c r="C153" s="23" t="s">
        <v>7</v>
      </c>
      <c r="D153" s="23" t="s">
        <v>940</v>
      </c>
      <c r="E153" s="23" t="s">
        <v>853</v>
      </c>
      <c r="F153" s="23" t="s">
        <v>928</v>
      </c>
      <c r="G153" s="24">
        <v>1325</v>
      </c>
      <c r="H153" s="24">
        <v>1325</v>
      </c>
    </row>
    <row r="154" spans="1:8">
      <c r="A154" s="1" t="s">
        <v>68</v>
      </c>
      <c r="B154" s="23" t="s">
        <v>791</v>
      </c>
      <c r="C154" s="23" t="s">
        <v>7</v>
      </c>
      <c r="D154" s="23" t="s">
        <v>941</v>
      </c>
      <c r="E154" s="23" t="s">
        <v>532</v>
      </c>
      <c r="F154" s="23" t="s">
        <v>928</v>
      </c>
      <c r="G154" s="24">
        <v>1110.25</v>
      </c>
      <c r="H154" s="24">
        <v>1110.25</v>
      </c>
    </row>
    <row r="155" spans="1:8">
      <c r="A155" s="1" t="s">
        <v>68</v>
      </c>
      <c r="B155" s="23" t="s">
        <v>791</v>
      </c>
      <c r="C155" s="23" t="s">
        <v>7</v>
      </c>
      <c r="D155" s="23" t="s">
        <v>942</v>
      </c>
      <c r="E155" s="23" t="s">
        <v>650</v>
      </c>
      <c r="F155" s="23" t="s">
        <v>928</v>
      </c>
      <c r="G155" s="24">
        <v>2446</v>
      </c>
      <c r="H155" s="24">
        <v>2446</v>
      </c>
    </row>
    <row r="156" spans="1:8">
      <c r="A156" s="1" t="s">
        <v>68</v>
      </c>
      <c r="B156" s="23" t="s">
        <v>791</v>
      </c>
      <c r="C156" s="23" t="s">
        <v>7</v>
      </c>
      <c r="D156" s="23" t="s">
        <v>943</v>
      </c>
      <c r="E156" s="23" t="s">
        <v>774</v>
      </c>
      <c r="F156" s="23" t="s">
        <v>928</v>
      </c>
      <c r="G156" s="24">
        <v>3964.88</v>
      </c>
      <c r="H156" s="24">
        <v>3964.88</v>
      </c>
    </row>
    <row r="157" spans="1:8">
      <c r="A157" s="1" t="s">
        <v>68</v>
      </c>
      <c r="B157" s="23" t="s">
        <v>791</v>
      </c>
      <c r="C157" s="23" t="s">
        <v>7</v>
      </c>
      <c r="D157" s="23" t="s">
        <v>944</v>
      </c>
      <c r="E157" s="23" t="s">
        <v>823</v>
      </c>
      <c r="F157" s="23" t="s">
        <v>928</v>
      </c>
      <c r="G157" s="24">
        <v>1412.82</v>
      </c>
      <c r="H157" s="24">
        <v>1412.82</v>
      </c>
    </row>
    <row r="158" spans="1:8">
      <c r="A158" s="1" t="s">
        <v>68</v>
      </c>
      <c r="B158" s="23" t="s">
        <v>791</v>
      </c>
      <c r="C158" s="23" t="s">
        <v>7</v>
      </c>
      <c r="D158" s="23" t="s">
        <v>945</v>
      </c>
      <c r="E158" s="23" t="s">
        <v>343</v>
      </c>
      <c r="F158" s="23" t="s">
        <v>928</v>
      </c>
      <c r="G158" s="24">
        <v>1221.6300000000001</v>
      </c>
      <c r="H158" s="24">
        <v>1221.6300000000001</v>
      </c>
    </row>
    <row r="159" spans="1:8">
      <c r="A159" s="1" t="s">
        <v>68</v>
      </c>
      <c r="B159" s="23" t="s">
        <v>791</v>
      </c>
      <c r="C159" s="23" t="s">
        <v>7</v>
      </c>
      <c r="D159" s="23" t="s">
        <v>946</v>
      </c>
      <c r="E159" s="23" t="s">
        <v>410</v>
      </c>
      <c r="F159" s="23" t="s">
        <v>928</v>
      </c>
      <c r="G159" s="24">
        <v>1275.75</v>
      </c>
      <c r="H159" s="24">
        <v>1275.75</v>
      </c>
    </row>
    <row r="160" spans="1:8">
      <c r="A160" s="1" t="s">
        <v>68</v>
      </c>
      <c r="B160" s="23" t="s">
        <v>791</v>
      </c>
      <c r="C160" s="23" t="s">
        <v>7</v>
      </c>
      <c r="D160" s="23" t="s">
        <v>947</v>
      </c>
      <c r="E160" s="23" t="s">
        <v>948</v>
      </c>
      <c r="F160" s="23" t="s">
        <v>928</v>
      </c>
      <c r="G160" s="24">
        <v>1743.8</v>
      </c>
      <c r="H160" s="24">
        <v>1743.8</v>
      </c>
    </row>
    <row r="161" spans="1:8">
      <c r="A161" s="1" t="s">
        <v>68</v>
      </c>
      <c r="B161" s="23" t="s">
        <v>791</v>
      </c>
      <c r="C161" s="23" t="s">
        <v>7</v>
      </c>
      <c r="D161" s="23" t="s">
        <v>949</v>
      </c>
      <c r="E161" s="23" t="s">
        <v>735</v>
      </c>
      <c r="F161" s="23" t="s">
        <v>928</v>
      </c>
      <c r="G161" s="24">
        <v>1203</v>
      </c>
      <c r="H161" s="24">
        <v>1203</v>
      </c>
    </row>
    <row r="162" spans="1:8">
      <c r="A162" s="1" t="s">
        <v>68</v>
      </c>
      <c r="B162" s="23" t="s">
        <v>791</v>
      </c>
      <c r="C162" s="23" t="s">
        <v>7</v>
      </c>
      <c r="D162" s="23" t="s">
        <v>962</v>
      </c>
      <c r="E162" s="23" t="s">
        <v>226</v>
      </c>
      <c r="F162" s="23" t="s">
        <v>928</v>
      </c>
      <c r="G162" s="24">
        <v>1430.52</v>
      </c>
      <c r="H162" s="24">
        <v>1430.52</v>
      </c>
    </row>
    <row r="163" spans="1:8">
      <c r="A163" s="1" t="s">
        <v>68</v>
      </c>
      <c r="B163" s="23" t="s">
        <v>791</v>
      </c>
      <c r="C163" s="23" t="s">
        <v>7</v>
      </c>
      <c r="D163" s="23" t="s">
        <v>963</v>
      </c>
      <c r="E163" s="23" t="s">
        <v>83</v>
      </c>
      <c r="F163" s="23" t="s">
        <v>928</v>
      </c>
      <c r="G163" s="24">
        <v>1548.4</v>
      </c>
      <c r="H163" s="24">
        <v>1548.4</v>
      </c>
    </row>
    <row r="164" spans="1:8">
      <c r="A164" s="1" t="s">
        <v>68</v>
      </c>
      <c r="B164" s="23" t="s">
        <v>791</v>
      </c>
      <c r="C164" s="23" t="s">
        <v>7</v>
      </c>
      <c r="D164" s="23" t="s">
        <v>964</v>
      </c>
      <c r="E164" s="23" t="s">
        <v>93</v>
      </c>
      <c r="F164" s="23" t="s">
        <v>928</v>
      </c>
      <c r="G164" s="24">
        <v>1002.93</v>
      </c>
      <c r="H164" s="24">
        <v>1002.93</v>
      </c>
    </row>
    <row r="165" spans="1:8">
      <c r="A165" s="1" t="s">
        <v>68</v>
      </c>
      <c r="B165" s="23" t="s">
        <v>791</v>
      </c>
      <c r="C165" s="23" t="s">
        <v>7</v>
      </c>
      <c r="D165" s="23" t="s">
        <v>965</v>
      </c>
      <c r="E165" s="23" t="s">
        <v>107</v>
      </c>
      <c r="F165" s="23" t="s">
        <v>928</v>
      </c>
      <c r="G165" s="24">
        <v>2645.48</v>
      </c>
      <c r="H165" s="24">
        <v>2645.48</v>
      </c>
    </row>
    <row r="166" spans="1:8">
      <c r="A166" s="1" t="s">
        <v>68</v>
      </c>
      <c r="B166" s="23" t="s">
        <v>791</v>
      </c>
      <c r="C166" s="23" t="s">
        <v>7</v>
      </c>
      <c r="D166" s="23" t="s">
        <v>966</v>
      </c>
      <c r="E166" s="23" t="s">
        <v>589</v>
      </c>
      <c r="F166" s="23" t="s">
        <v>928</v>
      </c>
      <c r="G166" s="24">
        <v>1424.16</v>
      </c>
      <c r="H166" s="24">
        <v>1424.16</v>
      </c>
    </row>
    <row r="167" spans="1:8">
      <c r="A167" s="1" t="s">
        <v>68</v>
      </c>
      <c r="B167" s="23" t="s">
        <v>797</v>
      </c>
      <c r="C167" s="23" t="s">
        <v>7</v>
      </c>
      <c r="D167" s="23" t="s">
        <v>950</v>
      </c>
      <c r="E167" s="23" t="s">
        <v>30</v>
      </c>
      <c r="F167" s="23" t="s">
        <v>951</v>
      </c>
      <c r="G167" s="24">
        <v>2443.25</v>
      </c>
      <c r="H167" s="24">
        <v>2443.25</v>
      </c>
    </row>
    <row r="168" spans="1:8">
      <c r="A168" s="1" t="s">
        <v>68</v>
      </c>
      <c r="B168" s="23" t="s">
        <v>797</v>
      </c>
      <c r="C168" s="23" t="s">
        <v>7</v>
      </c>
      <c r="D168" s="23" t="s">
        <v>952</v>
      </c>
      <c r="E168" s="23" t="s">
        <v>120</v>
      </c>
      <c r="F168" s="23" t="s">
        <v>951</v>
      </c>
      <c r="G168" s="24">
        <v>495.25</v>
      </c>
      <c r="H168" s="24">
        <v>495.25</v>
      </c>
    </row>
    <row r="169" spans="1:8">
      <c r="A169" s="1" t="s">
        <v>68</v>
      </c>
      <c r="B169" s="23" t="s">
        <v>797</v>
      </c>
      <c r="C169" s="23" t="s">
        <v>7</v>
      </c>
      <c r="D169" s="23" t="s">
        <v>953</v>
      </c>
      <c r="E169" s="23" t="s">
        <v>758</v>
      </c>
      <c r="F169" s="23" t="s">
        <v>951</v>
      </c>
      <c r="G169" s="24">
        <v>3770.25</v>
      </c>
      <c r="H169" s="24">
        <v>3770.25</v>
      </c>
    </row>
    <row r="170" spans="1:8">
      <c r="A170" s="1" t="s">
        <v>68</v>
      </c>
      <c r="B170" s="23" t="s">
        <v>797</v>
      </c>
      <c r="C170" s="23" t="s">
        <v>7</v>
      </c>
      <c r="D170" s="23" t="s">
        <v>954</v>
      </c>
      <c r="E170" s="23" t="s">
        <v>62</v>
      </c>
      <c r="F170" s="23" t="s">
        <v>951</v>
      </c>
      <c r="G170" s="24">
        <v>3770.25</v>
      </c>
      <c r="H170" s="24">
        <v>3770.25</v>
      </c>
    </row>
    <row r="171" spans="1:8">
      <c r="A171" s="1" t="s">
        <v>68</v>
      </c>
      <c r="B171" s="23" t="s">
        <v>797</v>
      </c>
      <c r="C171" s="23" t="s">
        <v>7</v>
      </c>
      <c r="D171" s="23" t="s">
        <v>955</v>
      </c>
      <c r="E171" s="23" t="s">
        <v>571</v>
      </c>
      <c r="F171" s="23" t="s">
        <v>951</v>
      </c>
      <c r="G171" s="24">
        <v>1370.25</v>
      </c>
      <c r="H171" s="24">
        <v>1370.25</v>
      </c>
    </row>
    <row r="172" spans="1:8">
      <c r="A172" s="1" t="s">
        <v>68</v>
      </c>
      <c r="B172" s="23" t="s">
        <v>797</v>
      </c>
      <c r="C172" s="23" t="s">
        <v>7</v>
      </c>
      <c r="D172" s="23" t="s">
        <v>956</v>
      </c>
      <c r="E172" s="23" t="s">
        <v>957</v>
      </c>
      <c r="F172" s="23" t="s">
        <v>951</v>
      </c>
      <c r="G172" s="24">
        <v>883.8</v>
      </c>
      <c r="H172" s="24">
        <v>883.8</v>
      </c>
    </row>
    <row r="173" spans="1:8">
      <c r="A173" s="1" t="s">
        <v>68</v>
      </c>
      <c r="B173" s="23" t="s">
        <v>797</v>
      </c>
      <c r="C173" s="23" t="s">
        <v>7</v>
      </c>
      <c r="D173" s="23" t="s">
        <v>967</v>
      </c>
      <c r="E173" s="23" t="s">
        <v>589</v>
      </c>
      <c r="F173" s="23" t="s">
        <v>951</v>
      </c>
      <c r="G173" s="24">
        <v>646.4</v>
      </c>
      <c r="H173" s="24">
        <v>646.4</v>
      </c>
    </row>
    <row r="174" spans="1:8">
      <c r="A174" s="1" t="s">
        <v>68</v>
      </c>
      <c r="B174" s="23" t="s">
        <v>797</v>
      </c>
      <c r="C174" s="23" t="s">
        <v>7</v>
      </c>
      <c r="D174" s="23" t="s">
        <v>968</v>
      </c>
      <c r="E174" s="23" t="s">
        <v>589</v>
      </c>
      <c r="F174" s="23" t="s">
        <v>951</v>
      </c>
      <c r="G174" s="24">
        <v>924.16</v>
      </c>
      <c r="H174" s="24">
        <v>924.16</v>
      </c>
    </row>
    <row r="175" spans="1:8">
      <c r="A175" s="1" t="s">
        <v>68</v>
      </c>
      <c r="B175" s="23" t="s">
        <v>969</v>
      </c>
      <c r="C175" s="23" t="s">
        <v>7</v>
      </c>
      <c r="D175" s="23" t="s">
        <v>970</v>
      </c>
      <c r="E175" s="23" t="s">
        <v>679</v>
      </c>
      <c r="F175" s="23" t="s">
        <v>971</v>
      </c>
      <c r="G175" s="24">
        <v>2651.5</v>
      </c>
      <c r="H175" s="24">
        <v>2651.5</v>
      </c>
    </row>
    <row r="176" spans="1:8">
      <c r="A176" s="1" t="s">
        <v>68</v>
      </c>
      <c r="B176" s="23" t="s">
        <v>969</v>
      </c>
      <c r="C176" s="23" t="s">
        <v>7</v>
      </c>
      <c r="D176" s="23" t="s">
        <v>972</v>
      </c>
      <c r="E176" s="23" t="s">
        <v>589</v>
      </c>
      <c r="F176" s="23" t="s">
        <v>971</v>
      </c>
      <c r="G176" s="24">
        <v>658.36</v>
      </c>
      <c r="H176" s="24">
        <v>658.36</v>
      </c>
    </row>
    <row r="177" spans="1:8">
      <c r="A177" s="1" t="s">
        <v>68</v>
      </c>
      <c r="B177" s="23" t="s">
        <v>969</v>
      </c>
      <c r="C177" s="23" t="s">
        <v>7</v>
      </c>
      <c r="D177" s="23" t="s">
        <v>973</v>
      </c>
      <c r="E177" s="23" t="s">
        <v>61</v>
      </c>
      <c r="F177" s="23" t="s">
        <v>971</v>
      </c>
      <c r="G177" s="24">
        <v>996.25</v>
      </c>
      <c r="H177" s="24">
        <v>996.25</v>
      </c>
    </row>
    <row r="178" spans="1:8">
      <c r="A178" s="1" t="s">
        <v>68</v>
      </c>
      <c r="B178" s="23" t="s">
        <v>974</v>
      </c>
      <c r="C178" s="23" t="s">
        <v>7</v>
      </c>
      <c r="D178" s="23" t="s">
        <v>975</v>
      </c>
      <c r="E178" s="23" t="s">
        <v>281</v>
      </c>
      <c r="F178" s="23" t="s">
        <v>976</v>
      </c>
      <c r="G178" s="24">
        <v>1542.1</v>
      </c>
      <c r="H178" s="24">
        <v>1542.1</v>
      </c>
    </row>
    <row r="179" spans="1:8">
      <c r="A179" s="1" t="s">
        <v>68</v>
      </c>
      <c r="B179" s="23" t="s">
        <v>974</v>
      </c>
      <c r="C179" s="23" t="s">
        <v>7</v>
      </c>
      <c r="D179" s="23" t="s">
        <v>977</v>
      </c>
      <c r="E179" s="23" t="s">
        <v>666</v>
      </c>
      <c r="F179" s="23" t="s">
        <v>976</v>
      </c>
      <c r="G179" s="24">
        <v>706.28</v>
      </c>
      <c r="H179" s="24">
        <v>706.28</v>
      </c>
    </row>
    <row r="180" spans="1:8">
      <c r="A180" s="1" t="s">
        <v>68</v>
      </c>
      <c r="B180" s="23" t="s">
        <v>974</v>
      </c>
      <c r="C180" s="23" t="s">
        <v>7</v>
      </c>
      <c r="D180" s="23" t="s">
        <v>978</v>
      </c>
      <c r="E180" s="23" t="s">
        <v>93</v>
      </c>
      <c r="F180" s="23" t="s">
        <v>976</v>
      </c>
      <c r="G180" s="24">
        <v>2824.88</v>
      </c>
      <c r="H180" s="24">
        <v>2824.88</v>
      </c>
    </row>
    <row r="181" spans="1:8">
      <c r="A181" s="1" t="s">
        <v>68</v>
      </c>
      <c r="B181" s="23" t="s">
        <v>979</v>
      </c>
      <c r="C181" s="23" t="s">
        <v>7</v>
      </c>
      <c r="D181" s="23" t="s">
        <v>980</v>
      </c>
      <c r="E181" s="23" t="s">
        <v>650</v>
      </c>
      <c r="F181" s="23" t="s">
        <v>981</v>
      </c>
      <c r="G181" s="24">
        <v>3669</v>
      </c>
      <c r="H181" s="24">
        <v>3669</v>
      </c>
    </row>
    <row r="182" spans="1:8">
      <c r="A182" s="1" t="s">
        <v>68</v>
      </c>
      <c r="B182" s="23" t="s">
        <v>979</v>
      </c>
      <c r="C182" s="23" t="s">
        <v>7</v>
      </c>
      <c r="D182" s="23" t="s">
        <v>982</v>
      </c>
      <c r="E182" s="23" t="s">
        <v>835</v>
      </c>
      <c r="F182" s="23" t="s">
        <v>981</v>
      </c>
      <c r="G182" s="24">
        <v>1223</v>
      </c>
      <c r="H182" s="24">
        <v>1223</v>
      </c>
    </row>
    <row r="183" spans="1:8">
      <c r="A183" s="1" t="s">
        <v>68</v>
      </c>
      <c r="B183" s="23" t="s">
        <v>979</v>
      </c>
      <c r="C183" s="23" t="s">
        <v>7</v>
      </c>
      <c r="D183" s="23" t="s">
        <v>983</v>
      </c>
      <c r="E183" s="23" t="s">
        <v>774</v>
      </c>
      <c r="F183" s="23" t="s">
        <v>981</v>
      </c>
      <c r="G183" s="24">
        <v>5286.5</v>
      </c>
      <c r="H183" s="24">
        <v>5286.5</v>
      </c>
    </row>
    <row r="184" spans="1:8">
      <c r="A184" s="1" t="s">
        <v>68</v>
      </c>
      <c r="B184" s="23" t="s">
        <v>979</v>
      </c>
      <c r="C184" s="23" t="s">
        <v>7</v>
      </c>
      <c r="D184" s="23" t="s">
        <v>984</v>
      </c>
      <c r="E184" s="23" t="s">
        <v>34</v>
      </c>
      <c r="F184" s="23" t="s">
        <v>981</v>
      </c>
      <c r="G184" s="24">
        <v>8025.42</v>
      </c>
      <c r="H184" s="24">
        <v>8025.42</v>
      </c>
    </row>
    <row r="185" spans="1:8">
      <c r="A185" s="1" t="s">
        <v>68</v>
      </c>
      <c r="B185" s="23" t="s">
        <v>979</v>
      </c>
      <c r="C185" s="23" t="s">
        <v>7</v>
      </c>
      <c r="D185" s="23" t="s">
        <v>985</v>
      </c>
      <c r="E185" s="23" t="s">
        <v>93</v>
      </c>
      <c r="F185" s="23" t="s">
        <v>981</v>
      </c>
      <c r="G185" s="24">
        <v>1361.28</v>
      </c>
      <c r="H185" s="24">
        <v>1361.28</v>
      </c>
    </row>
    <row r="186" spans="1:8">
      <c r="A186" s="1" t="s">
        <v>68</v>
      </c>
      <c r="B186" s="23" t="s">
        <v>979</v>
      </c>
      <c r="C186" s="23" t="s">
        <v>7</v>
      </c>
      <c r="D186" s="23" t="s">
        <v>986</v>
      </c>
      <c r="E186" s="23" t="s">
        <v>732</v>
      </c>
      <c r="F186" s="23" t="s">
        <v>981</v>
      </c>
      <c r="G186" s="24">
        <v>4886.5</v>
      </c>
      <c r="H186" s="24">
        <v>4886.5</v>
      </c>
    </row>
    <row r="187" spans="1:8">
      <c r="A187" s="1" t="s">
        <v>68</v>
      </c>
      <c r="B187" s="23" t="s">
        <v>979</v>
      </c>
      <c r="C187" s="23" t="s">
        <v>7</v>
      </c>
      <c r="D187" s="23" t="s">
        <v>987</v>
      </c>
      <c r="E187" s="23" t="s">
        <v>823</v>
      </c>
      <c r="F187" s="23" t="s">
        <v>981</v>
      </c>
      <c r="G187" s="24">
        <v>1412.82</v>
      </c>
      <c r="H187" s="24">
        <v>1412.82</v>
      </c>
    </row>
    <row r="188" spans="1:8">
      <c r="A188" s="1" t="s">
        <v>68</v>
      </c>
      <c r="B188" s="23" t="s">
        <v>979</v>
      </c>
      <c r="C188" s="23" t="s">
        <v>7</v>
      </c>
      <c r="D188" s="23" t="s">
        <v>988</v>
      </c>
      <c r="E188" s="23" t="s">
        <v>107</v>
      </c>
      <c r="F188" s="23" t="s">
        <v>981</v>
      </c>
      <c r="G188" s="24">
        <v>1520.25</v>
      </c>
      <c r="H188" s="24">
        <v>1520.25</v>
      </c>
    </row>
    <row r="189" spans="1:8">
      <c r="A189" s="1" t="s">
        <v>68</v>
      </c>
      <c r="B189" s="23" t="s">
        <v>979</v>
      </c>
      <c r="C189" s="23" t="s">
        <v>7</v>
      </c>
      <c r="D189" s="23" t="s">
        <v>989</v>
      </c>
      <c r="E189" s="23" t="s">
        <v>83</v>
      </c>
      <c r="F189" s="23" t="s">
        <v>981</v>
      </c>
      <c r="G189" s="24">
        <v>1121.6300000000001</v>
      </c>
      <c r="H189" s="24">
        <v>1121.6300000000001</v>
      </c>
    </row>
    <row r="190" spans="1:8">
      <c r="A190" s="1" t="s">
        <v>68</v>
      </c>
      <c r="B190" s="23" t="s">
        <v>979</v>
      </c>
      <c r="C190" s="23" t="s">
        <v>7</v>
      </c>
      <c r="D190" s="23" t="s">
        <v>990</v>
      </c>
      <c r="E190" s="23" t="s">
        <v>410</v>
      </c>
      <c r="F190" s="23" t="s">
        <v>981</v>
      </c>
      <c r="G190" s="24">
        <v>1275.75</v>
      </c>
      <c r="H190" s="24">
        <v>1275.75</v>
      </c>
    </row>
    <row r="191" spans="1:8">
      <c r="A191" s="1" t="s">
        <v>68</v>
      </c>
      <c r="B191" s="23" t="s">
        <v>979</v>
      </c>
      <c r="C191" s="23" t="s">
        <v>7</v>
      </c>
      <c r="D191" s="23" t="s">
        <v>991</v>
      </c>
      <c r="E191" s="23" t="s">
        <v>34</v>
      </c>
      <c r="F191" s="23" t="s">
        <v>981</v>
      </c>
      <c r="G191" s="24">
        <v>46218</v>
      </c>
      <c r="H191" s="24">
        <v>46218</v>
      </c>
    </row>
    <row r="192" spans="1:8">
      <c r="A192" s="1" t="s">
        <v>68</v>
      </c>
      <c r="B192" s="23" t="s">
        <v>979</v>
      </c>
      <c r="C192" s="23" t="s">
        <v>7</v>
      </c>
      <c r="D192" s="23" t="s">
        <v>992</v>
      </c>
      <c r="E192" s="23" t="s">
        <v>136</v>
      </c>
      <c r="F192" s="23" t="s">
        <v>981</v>
      </c>
      <c r="G192" s="24">
        <v>5815.5</v>
      </c>
      <c r="H192" s="24">
        <v>5815.5</v>
      </c>
    </row>
    <row r="193" spans="1:8">
      <c r="A193" s="1" t="s">
        <v>68</v>
      </c>
      <c r="B193" s="23" t="s">
        <v>979</v>
      </c>
      <c r="C193" s="23" t="s">
        <v>7</v>
      </c>
      <c r="D193" s="23" t="s">
        <v>993</v>
      </c>
      <c r="E193" s="23" t="s">
        <v>136</v>
      </c>
      <c r="F193" s="23" t="s">
        <v>981</v>
      </c>
      <c r="G193" s="24">
        <v>5815.5</v>
      </c>
      <c r="H193" s="24">
        <v>5815.5</v>
      </c>
    </row>
    <row r="194" spans="1:8">
      <c r="A194" s="1" t="s">
        <v>68</v>
      </c>
      <c r="B194" s="23" t="s">
        <v>979</v>
      </c>
      <c r="C194" s="23" t="s">
        <v>7</v>
      </c>
      <c r="D194" s="23" t="s">
        <v>994</v>
      </c>
      <c r="E194" s="23" t="s">
        <v>136</v>
      </c>
      <c r="F194" s="23" t="s">
        <v>981</v>
      </c>
      <c r="G194" s="24">
        <v>6176.05</v>
      </c>
      <c r="H194" s="24">
        <v>6176.05</v>
      </c>
    </row>
    <row r="195" spans="1:8">
      <c r="A195" s="1" t="s">
        <v>68</v>
      </c>
      <c r="B195" s="23" t="s">
        <v>979</v>
      </c>
      <c r="C195" s="23" t="s">
        <v>7</v>
      </c>
      <c r="D195" s="23" t="s">
        <v>995</v>
      </c>
      <c r="E195" s="23" t="s">
        <v>96</v>
      </c>
      <c r="F195" s="23" t="s">
        <v>981</v>
      </c>
      <c r="G195" s="24">
        <v>3749.8</v>
      </c>
      <c r="H195" s="24">
        <v>3749.8</v>
      </c>
    </row>
    <row r="196" spans="1:8">
      <c r="A196" s="1" t="s">
        <v>68</v>
      </c>
      <c r="B196" s="23" t="s">
        <v>979</v>
      </c>
      <c r="C196" s="23" t="s">
        <v>7</v>
      </c>
      <c r="D196" s="23" t="s">
        <v>996</v>
      </c>
      <c r="E196" s="23" t="s">
        <v>997</v>
      </c>
      <c r="F196" s="23" t="s">
        <v>981</v>
      </c>
      <c r="G196" s="24">
        <v>2585.6</v>
      </c>
      <c r="H196" s="24">
        <v>2585.6</v>
      </c>
    </row>
    <row r="197" spans="1:8" ht="21">
      <c r="A197" s="1" t="s">
        <v>68</v>
      </c>
      <c r="B197" s="23" t="s">
        <v>979</v>
      </c>
      <c r="C197" s="23" t="s">
        <v>7</v>
      </c>
      <c r="D197" s="23" t="s">
        <v>998</v>
      </c>
      <c r="E197" s="23" t="s">
        <v>106</v>
      </c>
      <c r="F197" s="23" t="s">
        <v>981</v>
      </c>
      <c r="G197" s="24">
        <v>686.52</v>
      </c>
      <c r="H197" s="24">
        <v>686.52</v>
      </c>
    </row>
    <row r="198" spans="1:8">
      <c r="A198" s="1" t="s">
        <v>68</v>
      </c>
      <c r="B198" s="23" t="s">
        <v>979</v>
      </c>
      <c r="C198" s="23" t="s">
        <v>7</v>
      </c>
      <c r="D198" s="23" t="s">
        <v>999</v>
      </c>
      <c r="E198" s="23" t="s">
        <v>66</v>
      </c>
      <c r="F198" s="23" t="s">
        <v>981</v>
      </c>
      <c r="G198" s="24">
        <v>1743.24</v>
      </c>
      <c r="H198" s="24">
        <v>1743.24</v>
      </c>
    </row>
    <row r="199" spans="1:8">
      <c r="A199" s="1" t="s">
        <v>68</v>
      </c>
      <c r="B199" s="23" t="s">
        <v>979</v>
      </c>
      <c r="C199" s="23" t="s">
        <v>7</v>
      </c>
      <c r="D199" s="23" t="s">
        <v>1000</v>
      </c>
      <c r="E199" s="23" t="s">
        <v>281</v>
      </c>
      <c r="F199" s="23" t="s">
        <v>981</v>
      </c>
      <c r="G199" s="24">
        <v>4727.13</v>
      </c>
      <c r="H199" s="24">
        <v>4727.13</v>
      </c>
    </row>
    <row r="200" spans="1:8">
      <c r="A200" s="1" t="s">
        <v>68</v>
      </c>
      <c r="B200" s="23" t="s">
        <v>808</v>
      </c>
      <c r="C200" s="23" t="s">
        <v>7</v>
      </c>
      <c r="D200" s="23" t="s">
        <v>1001</v>
      </c>
      <c r="E200" s="23" t="s">
        <v>725</v>
      </c>
      <c r="F200" s="23" t="s">
        <v>1002</v>
      </c>
      <c r="G200" s="24">
        <v>2331.5</v>
      </c>
      <c r="H200" s="24">
        <v>2331.5</v>
      </c>
    </row>
    <row r="201" spans="1:8">
      <c r="A201" s="1" t="s">
        <v>68</v>
      </c>
      <c r="B201" s="23" t="s">
        <v>808</v>
      </c>
      <c r="C201" s="23" t="s">
        <v>7</v>
      </c>
      <c r="D201" s="23" t="s">
        <v>1003</v>
      </c>
      <c r="E201" s="23" t="s">
        <v>735</v>
      </c>
      <c r="F201" s="23" t="s">
        <v>1002</v>
      </c>
      <c r="G201" s="24">
        <v>1323</v>
      </c>
      <c r="H201" s="24">
        <v>1323</v>
      </c>
    </row>
    <row r="202" spans="1:8">
      <c r="A202" s="1" t="s">
        <v>68</v>
      </c>
      <c r="B202" s="23" t="s">
        <v>808</v>
      </c>
      <c r="C202" s="23" t="s">
        <v>7</v>
      </c>
      <c r="D202" s="23" t="s">
        <v>1004</v>
      </c>
      <c r="E202" s="23" t="s">
        <v>744</v>
      </c>
      <c r="F202" s="23" t="s">
        <v>1002</v>
      </c>
      <c r="G202" s="24">
        <v>3969</v>
      </c>
      <c r="H202" s="24">
        <v>3969</v>
      </c>
    </row>
    <row r="203" spans="1:8">
      <c r="A203" s="1" t="s">
        <v>68</v>
      </c>
      <c r="B203" s="23" t="s">
        <v>808</v>
      </c>
      <c r="C203" s="23" t="s">
        <v>7</v>
      </c>
      <c r="D203" s="23" t="s">
        <v>1005</v>
      </c>
      <c r="E203" s="23" t="s">
        <v>644</v>
      </c>
      <c r="F203" s="23" t="s">
        <v>1002</v>
      </c>
      <c r="G203" s="24">
        <v>4564.88</v>
      </c>
      <c r="H203" s="24">
        <v>4564.88</v>
      </c>
    </row>
    <row r="204" spans="1:8">
      <c r="A204" s="1" t="s">
        <v>68</v>
      </c>
      <c r="B204" s="23" t="s">
        <v>808</v>
      </c>
      <c r="C204" s="23" t="s">
        <v>7</v>
      </c>
      <c r="D204" s="23" t="s">
        <v>1006</v>
      </c>
      <c r="E204" s="23" t="s">
        <v>725</v>
      </c>
      <c r="F204" s="23" t="s">
        <v>1002</v>
      </c>
      <c r="G204" s="24">
        <v>1225.75</v>
      </c>
      <c r="H204" s="24">
        <v>1225.75</v>
      </c>
    </row>
    <row r="205" spans="1:8">
      <c r="A205" s="1" t="s">
        <v>68</v>
      </c>
      <c r="B205" s="23" t="s">
        <v>808</v>
      </c>
      <c r="C205" s="23" t="s">
        <v>7</v>
      </c>
      <c r="D205" s="23" t="s">
        <v>1007</v>
      </c>
      <c r="E205" s="23" t="s">
        <v>923</v>
      </c>
      <c r="F205" s="23" t="s">
        <v>1002</v>
      </c>
      <c r="G205" s="24">
        <v>1370.25</v>
      </c>
      <c r="H205" s="24">
        <v>1370.25</v>
      </c>
    </row>
    <row r="206" spans="1:8">
      <c r="A206" s="1" t="s">
        <v>68</v>
      </c>
      <c r="B206" s="23" t="s">
        <v>808</v>
      </c>
      <c r="C206" s="23" t="s">
        <v>7</v>
      </c>
      <c r="D206" s="23" t="s">
        <v>1008</v>
      </c>
      <c r="E206" s="23" t="s">
        <v>80</v>
      </c>
      <c r="F206" s="23" t="s">
        <v>1002</v>
      </c>
      <c r="G206" s="24">
        <v>1125.75</v>
      </c>
      <c r="H206" s="24">
        <v>1125.75</v>
      </c>
    </row>
    <row r="207" spans="1:8">
      <c r="A207" s="1" t="s">
        <v>68</v>
      </c>
      <c r="B207" s="23" t="s">
        <v>808</v>
      </c>
      <c r="C207" s="23" t="s">
        <v>7</v>
      </c>
      <c r="D207" s="23" t="s">
        <v>1009</v>
      </c>
      <c r="E207" s="23" t="s">
        <v>1010</v>
      </c>
      <c r="F207" s="23" t="s">
        <v>1002</v>
      </c>
      <c r="G207" s="24">
        <v>12257.5</v>
      </c>
      <c r="H207" s="24">
        <v>12257.5</v>
      </c>
    </row>
    <row r="208" spans="1:8">
      <c r="A208" s="1" t="s">
        <v>68</v>
      </c>
      <c r="B208" s="23" t="s">
        <v>808</v>
      </c>
      <c r="C208" s="23" t="s">
        <v>7</v>
      </c>
      <c r="D208" s="23" t="s">
        <v>1011</v>
      </c>
      <c r="E208" s="23" t="s">
        <v>92</v>
      </c>
      <c r="F208" s="23" t="s">
        <v>1002</v>
      </c>
      <c r="G208" s="24">
        <v>9685.75</v>
      </c>
      <c r="H208" s="24">
        <v>9685.75</v>
      </c>
    </row>
    <row r="209" spans="1:8">
      <c r="A209" s="1" t="s">
        <v>68</v>
      </c>
      <c r="B209" s="23" t="s">
        <v>808</v>
      </c>
      <c r="C209" s="23" t="s">
        <v>7</v>
      </c>
      <c r="D209" s="23" t="s">
        <v>1012</v>
      </c>
      <c r="E209" s="23" t="s">
        <v>220</v>
      </c>
      <c r="F209" s="23" t="s">
        <v>1002</v>
      </c>
      <c r="G209" s="24">
        <v>3868.88</v>
      </c>
      <c r="H209" s="24">
        <v>3868.88</v>
      </c>
    </row>
    <row r="210" spans="1:8">
      <c r="A210" s="1" t="s">
        <v>68</v>
      </c>
      <c r="B210" s="23" t="s">
        <v>808</v>
      </c>
      <c r="C210" s="23" t="s">
        <v>7</v>
      </c>
      <c r="D210" s="23" t="s">
        <v>1013</v>
      </c>
      <c r="E210" s="23" t="s">
        <v>146</v>
      </c>
      <c r="F210" s="23" t="s">
        <v>1002</v>
      </c>
      <c r="G210" s="24">
        <v>3874.38</v>
      </c>
      <c r="H210" s="24">
        <v>3874.38</v>
      </c>
    </row>
    <row r="211" spans="1:8">
      <c r="A211" s="1" t="s">
        <v>68</v>
      </c>
      <c r="B211" s="23" t="s">
        <v>808</v>
      </c>
      <c r="C211" s="23" t="s">
        <v>7</v>
      </c>
      <c r="D211" s="23" t="s">
        <v>1014</v>
      </c>
      <c r="E211" s="23" t="s">
        <v>95</v>
      </c>
      <c r="F211" s="23" t="s">
        <v>1002</v>
      </c>
      <c r="G211" s="24">
        <v>3101.63</v>
      </c>
      <c r="H211" s="24">
        <v>3101.63</v>
      </c>
    </row>
    <row r="212" spans="1:8">
      <c r="A212" s="1" t="s">
        <v>68</v>
      </c>
      <c r="B212" s="23" t="s">
        <v>808</v>
      </c>
      <c r="C212" s="23" t="s">
        <v>7</v>
      </c>
      <c r="D212" s="23" t="s">
        <v>1015</v>
      </c>
      <c r="E212" s="23" t="s">
        <v>120</v>
      </c>
      <c r="F212" s="23" t="s">
        <v>1002</v>
      </c>
      <c r="G212" s="24">
        <v>2020.25</v>
      </c>
      <c r="H212" s="24">
        <v>2020.25</v>
      </c>
    </row>
    <row r="213" spans="1:8">
      <c r="A213" s="1" t="s">
        <v>68</v>
      </c>
      <c r="B213" s="23" t="s">
        <v>808</v>
      </c>
      <c r="C213" s="23" t="s">
        <v>7</v>
      </c>
      <c r="D213" s="23" t="s">
        <v>1016</v>
      </c>
      <c r="E213" s="23" t="s">
        <v>85</v>
      </c>
      <c r="F213" s="23" t="s">
        <v>1002</v>
      </c>
      <c r="G213" s="24">
        <v>1518.88</v>
      </c>
      <c r="H213" s="24">
        <v>1518.88</v>
      </c>
    </row>
    <row r="214" spans="1:8">
      <c r="A214" s="1" t="s">
        <v>68</v>
      </c>
      <c r="B214" s="23" t="s">
        <v>808</v>
      </c>
      <c r="C214" s="23" t="s">
        <v>7</v>
      </c>
      <c r="D214" s="23" t="s">
        <v>1017</v>
      </c>
      <c r="E214" s="23" t="s">
        <v>67</v>
      </c>
      <c r="F214" s="23" t="s">
        <v>1002</v>
      </c>
      <c r="G214" s="24">
        <v>500</v>
      </c>
      <c r="H214" s="24">
        <v>500</v>
      </c>
    </row>
    <row r="215" spans="1:8">
      <c r="A215" s="1" t="s">
        <v>68</v>
      </c>
      <c r="B215" s="23" t="s">
        <v>808</v>
      </c>
      <c r="C215" s="23" t="s">
        <v>7</v>
      </c>
      <c r="D215" s="23" t="s">
        <v>1018</v>
      </c>
      <c r="E215" s="23" t="s">
        <v>96</v>
      </c>
      <c r="F215" s="23" t="s">
        <v>1002</v>
      </c>
      <c r="G215" s="24">
        <v>4433.5</v>
      </c>
      <c r="H215" s="24">
        <v>4433.5</v>
      </c>
    </row>
    <row r="216" spans="1:8">
      <c r="A216" s="1" t="s">
        <v>68</v>
      </c>
      <c r="B216" s="23" t="s">
        <v>808</v>
      </c>
      <c r="C216" s="23" t="s">
        <v>7</v>
      </c>
      <c r="D216" s="23" t="s">
        <v>1019</v>
      </c>
      <c r="E216" s="23" t="s">
        <v>589</v>
      </c>
      <c r="F216" s="23" t="s">
        <v>1002</v>
      </c>
      <c r="G216" s="24">
        <v>3060.75</v>
      </c>
      <c r="H216" s="24">
        <v>3060.75</v>
      </c>
    </row>
    <row r="217" spans="1:8">
      <c r="A217" s="1" t="s">
        <v>68</v>
      </c>
      <c r="B217" s="23" t="s">
        <v>808</v>
      </c>
      <c r="C217" s="23" t="s">
        <v>7</v>
      </c>
      <c r="D217" s="23" t="s">
        <v>1020</v>
      </c>
      <c r="E217" s="23" t="s">
        <v>83</v>
      </c>
      <c r="F217" s="23" t="s">
        <v>1002</v>
      </c>
      <c r="G217" s="24">
        <v>6771.52</v>
      </c>
      <c r="H217" s="24">
        <v>6771.52</v>
      </c>
    </row>
    <row r="218" spans="1:8">
      <c r="A218" s="1" t="s">
        <v>68</v>
      </c>
      <c r="B218" s="23" t="s">
        <v>810</v>
      </c>
      <c r="C218" s="23" t="s">
        <v>7</v>
      </c>
      <c r="D218" s="23" t="s">
        <v>1021</v>
      </c>
      <c r="E218" s="23" t="s">
        <v>1022</v>
      </c>
      <c r="F218" s="23" t="s">
        <v>1023</v>
      </c>
      <c r="G218" s="24">
        <v>6211.5</v>
      </c>
      <c r="H218" s="24">
        <v>6211.5</v>
      </c>
    </row>
    <row r="219" spans="1:8">
      <c r="A219" s="1" t="s">
        <v>68</v>
      </c>
      <c r="B219" s="23" t="s">
        <v>810</v>
      </c>
      <c r="C219" s="23" t="s">
        <v>7</v>
      </c>
      <c r="D219" s="23" t="s">
        <v>1024</v>
      </c>
      <c r="E219" s="23" t="s">
        <v>118</v>
      </c>
      <c r="F219" s="23" t="s">
        <v>1023</v>
      </c>
      <c r="G219" s="24">
        <v>362.18</v>
      </c>
      <c r="H219" s="24">
        <v>362.18</v>
      </c>
    </row>
    <row r="220" spans="1:8">
      <c r="A220" s="1" t="s">
        <v>68</v>
      </c>
      <c r="B220" s="23" t="s">
        <v>766</v>
      </c>
      <c r="C220" s="23" t="s">
        <v>7</v>
      </c>
      <c r="D220" s="23" t="s">
        <v>1025</v>
      </c>
      <c r="E220" s="23" t="s">
        <v>102</v>
      </c>
      <c r="F220" s="23" t="s">
        <v>1026</v>
      </c>
      <c r="G220" s="24">
        <v>949.52</v>
      </c>
      <c r="H220" s="24">
        <v>949.52</v>
      </c>
    </row>
    <row r="221" spans="1:8">
      <c r="A221" s="1" t="s">
        <v>68</v>
      </c>
      <c r="B221" s="23" t="s">
        <v>766</v>
      </c>
      <c r="C221" s="23" t="s">
        <v>7</v>
      </c>
      <c r="D221" s="23" t="s">
        <v>1027</v>
      </c>
      <c r="E221" s="23" t="s">
        <v>1028</v>
      </c>
      <c r="F221" s="23" t="s">
        <v>1026</v>
      </c>
      <c r="G221" s="24">
        <v>2646</v>
      </c>
      <c r="H221" s="24">
        <v>2646</v>
      </c>
    </row>
    <row r="222" spans="1:8">
      <c r="A222" s="1" t="s">
        <v>68</v>
      </c>
      <c r="B222" s="23" t="s">
        <v>766</v>
      </c>
      <c r="C222" s="23" t="s">
        <v>7</v>
      </c>
      <c r="D222" s="23" t="s">
        <v>1029</v>
      </c>
      <c r="E222" s="23" t="s">
        <v>679</v>
      </c>
      <c r="F222" s="23" t="s">
        <v>1026</v>
      </c>
      <c r="G222" s="24">
        <v>1325.75</v>
      </c>
      <c r="H222" s="24">
        <v>1325.75</v>
      </c>
    </row>
    <row r="223" spans="1:8">
      <c r="A223" s="1" t="s">
        <v>68</v>
      </c>
      <c r="B223" s="23" t="s">
        <v>766</v>
      </c>
      <c r="C223" s="23" t="s">
        <v>7</v>
      </c>
      <c r="D223" s="23" t="s">
        <v>1030</v>
      </c>
      <c r="E223" s="23" t="s">
        <v>626</v>
      </c>
      <c r="F223" s="23" t="s">
        <v>1026</v>
      </c>
      <c r="G223" s="24">
        <v>658.17</v>
      </c>
      <c r="H223" s="24">
        <v>658.17</v>
      </c>
    </row>
    <row r="224" spans="1:8">
      <c r="A224" s="1" t="s">
        <v>68</v>
      </c>
      <c r="B224" s="23" t="s">
        <v>766</v>
      </c>
      <c r="C224" s="23" t="s">
        <v>7</v>
      </c>
      <c r="D224" s="23" t="s">
        <v>1031</v>
      </c>
      <c r="E224" s="23" t="s">
        <v>532</v>
      </c>
      <c r="F224" s="23" t="s">
        <v>1026</v>
      </c>
      <c r="G224" s="24">
        <v>1448.72</v>
      </c>
      <c r="H224" s="24">
        <v>1448.72</v>
      </c>
    </row>
    <row r="225" spans="1:8">
      <c r="A225" s="1" t="s">
        <v>68</v>
      </c>
      <c r="B225" s="23" t="s">
        <v>1032</v>
      </c>
      <c r="C225" s="23" t="s">
        <v>7</v>
      </c>
      <c r="D225" s="23" t="s">
        <v>1033</v>
      </c>
      <c r="E225" s="23" t="s">
        <v>661</v>
      </c>
      <c r="F225" s="23" t="s">
        <v>1034</v>
      </c>
      <c r="G225" s="24">
        <v>1520.25</v>
      </c>
      <c r="H225" s="24">
        <v>1520.25</v>
      </c>
    </row>
    <row r="226" spans="1:8">
      <c r="A226" s="1" t="s">
        <v>68</v>
      </c>
      <c r="B226" s="23" t="s">
        <v>821</v>
      </c>
      <c r="C226" s="23" t="s">
        <v>7</v>
      </c>
      <c r="D226" s="23" t="s">
        <v>880</v>
      </c>
      <c r="E226" s="23" t="s">
        <v>115</v>
      </c>
      <c r="F226" s="23" t="s">
        <v>881</v>
      </c>
      <c r="G226" s="24">
        <v>1375.75</v>
      </c>
      <c r="H226" s="24">
        <v>1375.75</v>
      </c>
    </row>
    <row r="227" spans="1:8">
      <c r="A227" s="1" t="s">
        <v>68</v>
      </c>
      <c r="B227" s="23" t="s">
        <v>785</v>
      </c>
      <c r="C227" s="23" t="s">
        <v>7</v>
      </c>
      <c r="D227" s="23" t="s">
        <v>794</v>
      </c>
      <c r="E227" s="23" t="s">
        <v>86</v>
      </c>
      <c r="F227" s="23" t="s">
        <v>958</v>
      </c>
      <c r="G227" s="24">
        <v>736.5</v>
      </c>
      <c r="H227" s="24">
        <v>736.5</v>
      </c>
    </row>
    <row r="228" spans="1:8">
      <c r="A228" s="1" t="s">
        <v>68</v>
      </c>
      <c r="B228" s="23" t="s">
        <v>791</v>
      </c>
      <c r="C228" s="23" t="s">
        <v>7</v>
      </c>
      <c r="D228" s="23" t="s">
        <v>959</v>
      </c>
      <c r="E228" s="23" t="s">
        <v>115</v>
      </c>
      <c r="F228" s="23" t="s">
        <v>960</v>
      </c>
      <c r="G228" s="24">
        <v>1375.75</v>
      </c>
      <c r="H228" s="24">
        <v>1375.75</v>
      </c>
    </row>
    <row r="229" spans="1:8">
      <c r="A229" s="1" t="s">
        <v>68</v>
      </c>
      <c r="B229" s="23" t="s">
        <v>974</v>
      </c>
      <c r="C229" s="23" t="s">
        <v>7</v>
      </c>
      <c r="D229" s="23" t="s">
        <v>1035</v>
      </c>
      <c r="E229" s="23" t="s">
        <v>115</v>
      </c>
      <c r="F229" s="23" t="s">
        <v>1036</v>
      </c>
      <c r="G229" s="24">
        <v>4127.25</v>
      </c>
      <c r="H229" s="24">
        <v>4127.25</v>
      </c>
    </row>
    <row r="230" spans="1:8">
      <c r="A230" s="1" t="s">
        <v>68</v>
      </c>
      <c r="B230" s="23" t="s">
        <v>979</v>
      </c>
      <c r="C230" s="23" t="s">
        <v>7</v>
      </c>
      <c r="D230" s="23" t="s">
        <v>1037</v>
      </c>
      <c r="E230" s="23" t="s">
        <v>115</v>
      </c>
      <c r="F230" s="23" t="s">
        <v>1038</v>
      </c>
      <c r="G230" s="24">
        <v>2751.5</v>
      </c>
      <c r="H230" s="24">
        <v>2751.5</v>
      </c>
    </row>
    <row r="231" spans="1:8">
      <c r="B231" s="23"/>
      <c r="C231" s="23"/>
      <c r="D231" s="23"/>
      <c r="E231" s="32"/>
      <c r="F231" s="24"/>
      <c r="G231" s="24"/>
    </row>
    <row r="232" spans="1:8">
      <c r="B232" s="23"/>
      <c r="C232" s="23"/>
      <c r="D232" s="23"/>
      <c r="E232" s="32"/>
      <c r="F232" s="24"/>
      <c r="G232" s="24"/>
    </row>
    <row r="233" spans="1:8">
      <c r="B233" s="32"/>
      <c r="C233" s="23"/>
      <c r="D233" s="23"/>
      <c r="E233" s="23"/>
      <c r="F233" s="32"/>
      <c r="G233" s="24"/>
      <c r="H233" s="24"/>
    </row>
    <row r="234" spans="1:8">
      <c r="B234" s="32"/>
      <c r="C234" s="23"/>
      <c r="D234" s="23"/>
      <c r="E234" s="23"/>
      <c r="F234" s="32"/>
      <c r="G234" s="24"/>
      <c r="H234" s="24"/>
    </row>
    <row r="235" spans="1:8">
      <c r="B235" s="32"/>
      <c r="C235" s="23"/>
      <c r="D235" s="23"/>
      <c r="E235" s="23"/>
      <c r="F235" s="32"/>
      <c r="G235" s="24"/>
      <c r="H235" s="24"/>
    </row>
  </sheetData>
  <autoFilter ref="A1:H3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8"/>
  <sheetViews>
    <sheetView workbookViewId="0">
      <pane ySplit="1" topLeftCell="A127" activePane="bottomLeft" state="frozen"/>
      <selection pane="bottomLeft" activeCell="D160" sqref="D160"/>
    </sheetView>
  </sheetViews>
  <sheetFormatPr defaultColWidth="12.58203125" defaultRowHeight="15.5"/>
  <cols>
    <col min="1" max="1" width="36.08203125" style="29" customWidth="1"/>
    <col min="2" max="3" width="16.58203125" style="29" customWidth="1"/>
    <col min="4" max="4" width="44.75" style="29" customWidth="1"/>
    <col min="5" max="5" width="29.33203125" style="29" customWidth="1"/>
    <col min="6" max="16384" width="12.58203125" style="25"/>
  </cols>
  <sheetData>
    <row r="1" spans="1:5">
      <c r="A1" s="26" t="s">
        <v>139</v>
      </c>
      <c r="B1" s="26" t="s">
        <v>140</v>
      </c>
      <c r="C1" s="26" t="s">
        <v>142</v>
      </c>
      <c r="D1" s="26" t="s">
        <v>141</v>
      </c>
      <c r="E1" s="26" t="s">
        <v>673</v>
      </c>
    </row>
    <row r="2" spans="1:5">
      <c r="A2" s="27" t="s">
        <v>107</v>
      </c>
      <c r="B2" s="28" t="s">
        <v>143</v>
      </c>
      <c r="C2" s="28" t="s">
        <v>145</v>
      </c>
      <c r="D2" s="28" t="s">
        <v>144</v>
      </c>
      <c r="E2" s="25"/>
    </row>
    <row r="3" spans="1:5">
      <c r="A3" s="27" t="s">
        <v>146</v>
      </c>
      <c r="B3" s="28" t="s">
        <v>147</v>
      </c>
      <c r="C3" s="28" t="s">
        <v>145</v>
      </c>
      <c r="D3" s="28" t="s">
        <v>148</v>
      </c>
      <c r="E3" s="25"/>
    </row>
    <row r="4" spans="1:5">
      <c r="A4" s="27" t="s">
        <v>149</v>
      </c>
      <c r="B4" s="28" t="s">
        <v>150</v>
      </c>
      <c r="C4" s="28" t="s">
        <v>145</v>
      </c>
      <c r="D4" s="28" t="s">
        <v>151</v>
      </c>
      <c r="E4" s="25"/>
    </row>
    <row r="5" spans="1:5">
      <c r="A5" s="27" t="s">
        <v>11</v>
      </c>
      <c r="B5" s="28" t="s">
        <v>152</v>
      </c>
      <c r="C5" s="28" t="s">
        <v>145</v>
      </c>
      <c r="D5" s="28" t="s">
        <v>145</v>
      </c>
      <c r="E5" s="25"/>
    </row>
    <row r="6" spans="1:5">
      <c r="A6" s="27" t="s">
        <v>153</v>
      </c>
      <c r="B6" s="28" t="s">
        <v>145</v>
      </c>
      <c r="C6" s="28" t="s">
        <v>145</v>
      </c>
      <c r="D6" s="28" t="s">
        <v>154</v>
      </c>
      <c r="E6" s="25"/>
    </row>
    <row r="7" spans="1:5">
      <c r="A7" s="27" t="s">
        <v>155</v>
      </c>
      <c r="B7" s="28" t="s">
        <v>156</v>
      </c>
      <c r="C7" s="28" t="s">
        <v>145</v>
      </c>
      <c r="D7" s="28" t="s">
        <v>157</v>
      </c>
      <c r="E7" s="25"/>
    </row>
    <row r="8" spans="1:5">
      <c r="A8" s="27" t="s">
        <v>158</v>
      </c>
      <c r="B8" s="28" t="s">
        <v>159</v>
      </c>
      <c r="C8" s="28" t="s">
        <v>145</v>
      </c>
      <c r="D8" s="28" t="s">
        <v>160</v>
      </c>
      <c r="E8" s="25"/>
    </row>
    <row r="9" spans="1:5">
      <c r="A9" s="27" t="s">
        <v>67</v>
      </c>
      <c r="B9" s="28" t="s">
        <v>161</v>
      </c>
      <c r="C9" s="28" t="s">
        <v>145</v>
      </c>
      <c r="D9" s="28" t="s">
        <v>162</v>
      </c>
      <c r="E9" s="25"/>
    </row>
    <row r="10" spans="1:5">
      <c r="A10" s="27" t="s">
        <v>163</v>
      </c>
      <c r="B10" s="28" t="s">
        <v>164</v>
      </c>
      <c r="C10" s="28" t="s">
        <v>145</v>
      </c>
      <c r="D10" s="28" t="s">
        <v>165</v>
      </c>
      <c r="E10" s="25"/>
    </row>
    <row r="11" spans="1:5">
      <c r="A11" s="27" t="s">
        <v>166</v>
      </c>
      <c r="B11" s="28" t="s">
        <v>167</v>
      </c>
      <c r="C11" s="28" t="s">
        <v>145</v>
      </c>
      <c r="D11" s="28" t="s">
        <v>168</v>
      </c>
      <c r="E11" s="25"/>
    </row>
    <row r="12" spans="1:5">
      <c r="A12" s="27" t="s">
        <v>169</v>
      </c>
      <c r="B12" s="28" t="s">
        <v>170</v>
      </c>
      <c r="C12" s="28" t="s">
        <v>145</v>
      </c>
      <c r="D12" s="28" t="s">
        <v>171</v>
      </c>
      <c r="E12" s="25"/>
    </row>
    <row r="13" spans="1:5">
      <c r="A13" s="27" t="s">
        <v>29</v>
      </c>
      <c r="B13" s="28" t="s">
        <v>172</v>
      </c>
      <c r="C13" s="28" t="s">
        <v>145</v>
      </c>
      <c r="D13" s="28" t="s">
        <v>173</v>
      </c>
      <c r="E13" s="25"/>
    </row>
    <row r="14" spans="1:5">
      <c r="A14" s="27" t="s">
        <v>174</v>
      </c>
      <c r="B14" s="28" t="s">
        <v>175</v>
      </c>
      <c r="C14" s="28" t="s">
        <v>145</v>
      </c>
      <c r="D14" s="28" t="s">
        <v>176</v>
      </c>
      <c r="E14" s="25"/>
    </row>
    <row r="15" spans="1:5">
      <c r="A15" s="27" t="s">
        <v>13</v>
      </c>
      <c r="B15" s="28" t="s">
        <v>177</v>
      </c>
      <c r="C15" s="28" t="s">
        <v>145</v>
      </c>
      <c r="D15" s="28" t="s">
        <v>178</v>
      </c>
      <c r="E15" s="25"/>
    </row>
    <row r="16" spans="1:5">
      <c r="A16" s="27" t="s">
        <v>179</v>
      </c>
      <c r="B16" s="28" t="s">
        <v>180</v>
      </c>
      <c r="C16" s="28" t="s">
        <v>145</v>
      </c>
      <c r="D16" s="28" t="s">
        <v>181</v>
      </c>
      <c r="E16" s="25"/>
    </row>
    <row r="17" spans="1:5">
      <c r="A17" s="27" t="s">
        <v>182</v>
      </c>
      <c r="B17" s="28" t="s">
        <v>145</v>
      </c>
      <c r="C17" s="28" t="s">
        <v>145</v>
      </c>
      <c r="D17" s="28" t="s">
        <v>183</v>
      </c>
      <c r="E17" s="25"/>
    </row>
    <row r="18" spans="1:5">
      <c r="A18" s="27" t="s">
        <v>9</v>
      </c>
      <c r="B18" s="28" t="s">
        <v>184</v>
      </c>
      <c r="C18" s="28" t="s">
        <v>145</v>
      </c>
      <c r="D18" s="28" t="s">
        <v>185</v>
      </c>
      <c r="E18" s="25"/>
    </row>
    <row r="19" spans="1:5">
      <c r="A19" s="27" t="s">
        <v>186</v>
      </c>
      <c r="B19" s="28" t="s">
        <v>187</v>
      </c>
      <c r="C19" s="28" t="s">
        <v>145</v>
      </c>
      <c r="D19" s="28" t="s">
        <v>188</v>
      </c>
      <c r="E19" s="25"/>
    </row>
    <row r="20" spans="1:5">
      <c r="A20" s="27" t="s">
        <v>189</v>
      </c>
      <c r="B20" s="28" t="s">
        <v>145</v>
      </c>
      <c r="C20" s="28" t="s">
        <v>145</v>
      </c>
      <c r="D20" s="28" t="s">
        <v>190</v>
      </c>
      <c r="E20" s="25"/>
    </row>
    <row r="21" spans="1:5">
      <c r="A21" s="27" t="s">
        <v>191</v>
      </c>
      <c r="B21" s="28" t="s">
        <v>145</v>
      </c>
      <c r="C21" s="28" t="s">
        <v>145</v>
      </c>
      <c r="D21" s="28" t="s">
        <v>145</v>
      </c>
      <c r="E21" s="25"/>
    </row>
    <row r="22" spans="1:5">
      <c r="A22" s="27" t="s">
        <v>192</v>
      </c>
      <c r="B22" s="28" t="s">
        <v>145</v>
      </c>
      <c r="C22" s="28" t="s">
        <v>145</v>
      </c>
      <c r="D22" s="28" t="s">
        <v>193</v>
      </c>
      <c r="E22" s="25"/>
    </row>
    <row r="23" spans="1:5">
      <c r="A23" s="27" t="s">
        <v>82</v>
      </c>
      <c r="B23" s="28" t="s">
        <v>194</v>
      </c>
      <c r="C23" s="28" t="s">
        <v>145</v>
      </c>
      <c r="D23" s="28" t="s">
        <v>195</v>
      </c>
      <c r="E23" s="25"/>
    </row>
    <row r="24" spans="1:5">
      <c r="A24" s="27" t="s">
        <v>62</v>
      </c>
      <c r="B24" s="28" t="s">
        <v>145</v>
      </c>
      <c r="C24" s="28" t="s">
        <v>145</v>
      </c>
      <c r="D24" s="28" t="s">
        <v>196</v>
      </c>
      <c r="E24" s="25"/>
    </row>
    <row r="25" spans="1:5">
      <c r="A25" s="27" t="s">
        <v>197</v>
      </c>
      <c r="B25" s="28" t="s">
        <v>145</v>
      </c>
      <c r="C25" s="28" t="s">
        <v>145</v>
      </c>
      <c r="D25" s="28" t="s">
        <v>145</v>
      </c>
      <c r="E25" s="25"/>
    </row>
    <row r="26" spans="1:5">
      <c r="A26" s="27" t="s">
        <v>198</v>
      </c>
      <c r="B26" s="28" t="s">
        <v>199</v>
      </c>
      <c r="C26" s="28" t="s">
        <v>145</v>
      </c>
      <c r="D26" s="28" t="s">
        <v>200</v>
      </c>
      <c r="E26" s="25"/>
    </row>
    <row r="27" spans="1:5">
      <c r="A27" s="27" t="s">
        <v>201</v>
      </c>
      <c r="B27" s="28" t="s">
        <v>202</v>
      </c>
      <c r="C27" s="28" t="s">
        <v>145</v>
      </c>
      <c r="D27" s="28" t="s">
        <v>203</v>
      </c>
      <c r="E27" s="25"/>
    </row>
    <row r="28" spans="1:5">
      <c r="A28" s="27" t="s">
        <v>204</v>
      </c>
      <c r="B28" s="28" t="s">
        <v>145</v>
      </c>
      <c r="C28" s="28" t="s">
        <v>145</v>
      </c>
      <c r="D28" s="28" t="s">
        <v>205</v>
      </c>
      <c r="E28" s="25"/>
    </row>
    <row r="29" spans="1:5">
      <c r="A29" s="27" t="s">
        <v>206</v>
      </c>
      <c r="B29" s="28" t="s">
        <v>207</v>
      </c>
      <c r="C29" s="28" t="s">
        <v>145</v>
      </c>
      <c r="D29" s="28" t="s">
        <v>208</v>
      </c>
      <c r="E29" s="25"/>
    </row>
    <row r="30" spans="1:5">
      <c r="A30" s="27" t="s">
        <v>209</v>
      </c>
      <c r="B30" s="28" t="s">
        <v>210</v>
      </c>
      <c r="C30" s="28" t="s">
        <v>145</v>
      </c>
      <c r="D30" s="28" t="s">
        <v>211</v>
      </c>
      <c r="E30" s="25"/>
    </row>
    <row r="31" spans="1:5">
      <c r="A31" s="27" t="s">
        <v>212</v>
      </c>
      <c r="B31" s="28" t="s">
        <v>145</v>
      </c>
      <c r="C31" s="28" t="s">
        <v>145</v>
      </c>
      <c r="D31" s="28" t="s">
        <v>213</v>
      </c>
      <c r="E31" s="25"/>
    </row>
    <row r="32" spans="1:5">
      <c r="A32" s="27" t="s">
        <v>118</v>
      </c>
      <c r="B32" s="28" t="s">
        <v>214</v>
      </c>
      <c r="C32" s="28" t="s">
        <v>145</v>
      </c>
      <c r="D32" s="28" t="s">
        <v>215</v>
      </c>
      <c r="E32" s="25"/>
    </row>
    <row r="33" spans="1:5">
      <c r="A33" s="27" t="s">
        <v>216</v>
      </c>
      <c r="B33" s="28" t="s">
        <v>145</v>
      </c>
      <c r="C33" s="28" t="s">
        <v>145</v>
      </c>
      <c r="D33" s="28" t="s">
        <v>217</v>
      </c>
      <c r="E33" s="25"/>
    </row>
    <row r="34" spans="1:5">
      <c r="A34" s="27" t="s">
        <v>120</v>
      </c>
      <c r="B34" s="28" t="s">
        <v>218</v>
      </c>
      <c r="C34" s="28" t="s">
        <v>145</v>
      </c>
      <c r="D34" s="28" t="s">
        <v>219</v>
      </c>
      <c r="E34" s="25"/>
    </row>
    <row r="35" spans="1:5">
      <c r="A35" s="27" t="s">
        <v>220</v>
      </c>
      <c r="B35" s="28" t="s">
        <v>221</v>
      </c>
      <c r="C35" s="28" t="s">
        <v>145</v>
      </c>
      <c r="D35" s="28" t="s">
        <v>222</v>
      </c>
      <c r="E35" s="25"/>
    </row>
    <row r="36" spans="1:5">
      <c r="A36" s="27" t="s">
        <v>223</v>
      </c>
      <c r="B36" s="28" t="s">
        <v>224</v>
      </c>
      <c r="C36" s="28" t="s">
        <v>145</v>
      </c>
      <c r="D36" s="28" t="s">
        <v>225</v>
      </c>
      <c r="E36" s="25"/>
    </row>
    <row r="37" spans="1:5">
      <c r="A37" s="27" t="s">
        <v>226</v>
      </c>
      <c r="B37" s="28" t="s">
        <v>227</v>
      </c>
      <c r="C37" s="28" t="s">
        <v>145</v>
      </c>
      <c r="D37" s="28" t="s">
        <v>228</v>
      </c>
      <c r="E37" s="25"/>
    </row>
    <row r="38" spans="1:5">
      <c r="A38" s="27" t="s">
        <v>61</v>
      </c>
      <c r="B38" s="28" t="s">
        <v>229</v>
      </c>
      <c r="C38" s="28" t="s">
        <v>145</v>
      </c>
      <c r="D38" s="28" t="s">
        <v>230</v>
      </c>
      <c r="E38" s="25"/>
    </row>
    <row r="39" spans="1:5">
      <c r="A39" s="27" t="s">
        <v>93</v>
      </c>
      <c r="B39" s="28" t="s">
        <v>231</v>
      </c>
      <c r="C39" s="28" t="s">
        <v>145</v>
      </c>
      <c r="D39" s="28" t="s">
        <v>232</v>
      </c>
      <c r="E39" s="25"/>
    </row>
    <row r="40" spans="1:5" ht="21.5">
      <c r="A40" s="27" t="s">
        <v>233</v>
      </c>
      <c r="B40" s="28" t="s">
        <v>234</v>
      </c>
      <c r="C40" s="28" t="s">
        <v>145</v>
      </c>
      <c r="D40" s="28" t="s">
        <v>235</v>
      </c>
      <c r="E40" s="25"/>
    </row>
    <row r="41" spans="1:5">
      <c r="A41" s="27" t="s">
        <v>30</v>
      </c>
      <c r="B41" s="28" t="s">
        <v>236</v>
      </c>
      <c r="C41" s="28" t="s">
        <v>145</v>
      </c>
      <c r="D41" s="28" t="s">
        <v>237</v>
      </c>
      <c r="E41" s="25"/>
    </row>
    <row r="42" spans="1:5">
      <c r="A42" s="27" t="s">
        <v>238</v>
      </c>
      <c r="B42" s="28" t="s">
        <v>145</v>
      </c>
      <c r="C42" s="28" t="s">
        <v>145</v>
      </c>
      <c r="D42" s="28" t="s">
        <v>239</v>
      </c>
      <c r="E42" s="25"/>
    </row>
    <row r="43" spans="1:5">
      <c r="A43" s="27" t="s">
        <v>240</v>
      </c>
      <c r="B43" s="28" t="s">
        <v>241</v>
      </c>
      <c r="C43" s="28" t="s">
        <v>145</v>
      </c>
      <c r="D43" s="28" t="s">
        <v>242</v>
      </c>
      <c r="E43" s="25"/>
    </row>
    <row r="44" spans="1:5" ht="21.5">
      <c r="A44" s="27" t="s">
        <v>106</v>
      </c>
      <c r="B44" s="28" t="s">
        <v>145</v>
      </c>
      <c r="C44" s="28" t="s">
        <v>145</v>
      </c>
      <c r="D44" s="28" t="s">
        <v>243</v>
      </c>
      <c r="E44" s="25"/>
    </row>
    <row r="45" spans="1:5">
      <c r="A45" s="27" t="s">
        <v>89</v>
      </c>
      <c r="B45" s="28" t="s">
        <v>244</v>
      </c>
      <c r="C45" s="28" t="s">
        <v>145</v>
      </c>
      <c r="D45" s="28" t="s">
        <v>245</v>
      </c>
      <c r="E45" s="25"/>
    </row>
    <row r="46" spans="1:5">
      <c r="A46" s="27" t="s">
        <v>246</v>
      </c>
      <c r="B46" s="28" t="s">
        <v>145</v>
      </c>
      <c r="C46" s="28" t="s">
        <v>145</v>
      </c>
      <c r="D46" s="28" t="s">
        <v>247</v>
      </c>
      <c r="E46" s="25"/>
    </row>
    <row r="47" spans="1:5">
      <c r="A47" s="27" t="s">
        <v>248</v>
      </c>
      <c r="B47" s="28" t="s">
        <v>249</v>
      </c>
      <c r="C47" s="28" t="s">
        <v>145</v>
      </c>
      <c r="D47" s="28" t="s">
        <v>250</v>
      </c>
      <c r="E47" s="25"/>
    </row>
    <row r="48" spans="1:5">
      <c r="A48" s="27" t="s">
        <v>251</v>
      </c>
      <c r="B48" s="28" t="s">
        <v>252</v>
      </c>
      <c r="C48" s="28" t="s">
        <v>145</v>
      </c>
      <c r="D48" s="28" t="s">
        <v>253</v>
      </c>
      <c r="E48" s="30" t="s">
        <v>677</v>
      </c>
    </row>
    <row r="49" spans="1:5">
      <c r="A49" s="27" t="s">
        <v>254</v>
      </c>
      <c r="B49" s="28" t="s">
        <v>145</v>
      </c>
      <c r="C49" s="28" t="s">
        <v>145</v>
      </c>
      <c r="D49" s="28" t="s">
        <v>255</v>
      </c>
      <c r="E49" s="25"/>
    </row>
    <row r="50" spans="1:5">
      <c r="A50" s="27" t="s">
        <v>90</v>
      </c>
      <c r="B50" s="28" t="s">
        <v>256</v>
      </c>
      <c r="C50" s="28" t="s">
        <v>145</v>
      </c>
      <c r="D50" s="28" t="s">
        <v>257</v>
      </c>
      <c r="E50" s="25"/>
    </row>
    <row r="51" spans="1:5">
      <c r="A51" s="27" t="s">
        <v>258</v>
      </c>
      <c r="B51" s="28" t="s">
        <v>145</v>
      </c>
      <c r="C51" s="28" t="s">
        <v>145</v>
      </c>
      <c r="D51" s="28" t="s">
        <v>259</v>
      </c>
      <c r="E51" s="25"/>
    </row>
    <row r="52" spans="1:5">
      <c r="A52" s="27" t="s">
        <v>260</v>
      </c>
      <c r="B52" s="28" t="s">
        <v>261</v>
      </c>
      <c r="C52" s="28" t="s">
        <v>145</v>
      </c>
      <c r="D52" s="28" t="s">
        <v>262</v>
      </c>
      <c r="E52" s="25"/>
    </row>
    <row r="53" spans="1:5">
      <c r="A53" s="27" t="s">
        <v>263</v>
      </c>
      <c r="B53" s="28" t="s">
        <v>145</v>
      </c>
      <c r="C53" s="28" t="s">
        <v>145</v>
      </c>
      <c r="D53" s="28" t="s">
        <v>264</v>
      </c>
      <c r="E53" s="25"/>
    </row>
    <row r="54" spans="1:5">
      <c r="A54" s="27" t="s">
        <v>102</v>
      </c>
      <c r="B54" s="28" t="s">
        <v>265</v>
      </c>
      <c r="C54" s="28" t="s">
        <v>145</v>
      </c>
      <c r="D54" s="28" t="s">
        <v>266</v>
      </c>
      <c r="E54" s="25"/>
    </row>
    <row r="55" spans="1:5">
      <c r="A55" s="27" t="s">
        <v>267</v>
      </c>
      <c r="B55" s="28" t="s">
        <v>145</v>
      </c>
      <c r="C55" s="28" t="s">
        <v>145</v>
      </c>
      <c r="D55" s="28" t="s">
        <v>268</v>
      </c>
      <c r="E55" s="25"/>
    </row>
    <row r="56" spans="1:5">
      <c r="A56" s="27" t="s">
        <v>269</v>
      </c>
      <c r="B56" s="28" t="s">
        <v>270</v>
      </c>
      <c r="C56" s="28" t="s">
        <v>145</v>
      </c>
      <c r="D56" s="28" t="s">
        <v>271</v>
      </c>
      <c r="E56" s="25"/>
    </row>
    <row r="57" spans="1:5">
      <c r="A57" s="27" t="s">
        <v>272</v>
      </c>
      <c r="B57" s="28" t="s">
        <v>145</v>
      </c>
      <c r="C57" s="28" t="s">
        <v>145</v>
      </c>
      <c r="D57" s="28" t="s">
        <v>273</v>
      </c>
      <c r="E57" s="25"/>
    </row>
    <row r="58" spans="1:5">
      <c r="A58" s="27" t="s">
        <v>274</v>
      </c>
      <c r="B58" s="28" t="s">
        <v>275</v>
      </c>
      <c r="C58" s="28" t="s">
        <v>145</v>
      </c>
      <c r="D58" s="28" t="s">
        <v>276</v>
      </c>
      <c r="E58" s="25"/>
    </row>
    <row r="59" spans="1:5">
      <c r="A59" s="27" t="s">
        <v>95</v>
      </c>
      <c r="B59" s="28" t="s">
        <v>277</v>
      </c>
      <c r="C59" s="28" t="s">
        <v>145</v>
      </c>
      <c r="D59" s="28" t="s">
        <v>278</v>
      </c>
      <c r="E59" s="25"/>
    </row>
    <row r="60" spans="1:5">
      <c r="A60" s="27" t="s">
        <v>87</v>
      </c>
      <c r="B60" s="28" t="s">
        <v>145</v>
      </c>
      <c r="C60" s="28" t="s">
        <v>145</v>
      </c>
      <c r="D60" s="28" t="s">
        <v>279</v>
      </c>
      <c r="E60" s="25"/>
    </row>
    <row r="61" spans="1:5">
      <c r="A61" s="27" t="s">
        <v>65</v>
      </c>
      <c r="B61" s="28" t="s">
        <v>145</v>
      </c>
      <c r="C61" s="28" t="s">
        <v>65</v>
      </c>
      <c r="D61" s="28" t="s">
        <v>280</v>
      </c>
      <c r="E61" s="25"/>
    </row>
    <row r="62" spans="1:5">
      <c r="A62" s="27" t="s">
        <v>281</v>
      </c>
      <c r="B62" s="28" t="s">
        <v>145</v>
      </c>
      <c r="C62" s="28" t="s">
        <v>145</v>
      </c>
      <c r="D62" s="28" t="s">
        <v>282</v>
      </c>
      <c r="E62" s="25"/>
    </row>
    <row r="63" spans="1:5">
      <c r="A63" s="27" t="s">
        <v>32</v>
      </c>
      <c r="B63" s="28" t="s">
        <v>283</v>
      </c>
      <c r="C63" s="28" t="s">
        <v>145</v>
      </c>
      <c r="D63" s="28" t="s">
        <v>284</v>
      </c>
      <c r="E63" s="25"/>
    </row>
    <row r="64" spans="1:5">
      <c r="A64" s="27" t="s">
        <v>285</v>
      </c>
      <c r="B64" s="28" t="s">
        <v>286</v>
      </c>
      <c r="C64" s="28" t="s">
        <v>145</v>
      </c>
      <c r="D64" s="28" t="s">
        <v>287</v>
      </c>
      <c r="E64" s="25"/>
    </row>
    <row r="65" spans="1:5">
      <c r="A65" s="27" t="s">
        <v>288</v>
      </c>
      <c r="B65" s="28" t="s">
        <v>289</v>
      </c>
      <c r="C65" s="28" t="s">
        <v>145</v>
      </c>
      <c r="D65" s="28" t="s">
        <v>290</v>
      </c>
      <c r="E65" s="25"/>
    </row>
    <row r="66" spans="1:5">
      <c r="A66" s="27" t="s">
        <v>291</v>
      </c>
      <c r="B66" s="28" t="s">
        <v>292</v>
      </c>
      <c r="C66" s="28" t="s">
        <v>145</v>
      </c>
      <c r="D66" s="28" t="s">
        <v>293</v>
      </c>
      <c r="E66" s="25"/>
    </row>
    <row r="67" spans="1:5">
      <c r="A67" s="27" t="s">
        <v>294</v>
      </c>
      <c r="B67" s="28" t="s">
        <v>295</v>
      </c>
      <c r="C67" s="28" t="s">
        <v>145</v>
      </c>
      <c r="D67" s="28" t="s">
        <v>296</v>
      </c>
      <c r="E67" s="25"/>
    </row>
    <row r="68" spans="1:5">
      <c r="A68" s="27" t="s">
        <v>297</v>
      </c>
      <c r="B68" s="28" t="s">
        <v>145</v>
      </c>
      <c r="C68" s="28" t="s">
        <v>145</v>
      </c>
      <c r="D68" s="28" t="s">
        <v>298</v>
      </c>
      <c r="E68" s="25"/>
    </row>
    <row r="69" spans="1:5">
      <c r="A69" s="27" t="s">
        <v>299</v>
      </c>
      <c r="B69" s="28" t="s">
        <v>145</v>
      </c>
      <c r="C69" s="28" t="s">
        <v>145</v>
      </c>
      <c r="D69" s="28" t="s">
        <v>300</v>
      </c>
      <c r="E69" s="25"/>
    </row>
    <row r="70" spans="1:5">
      <c r="A70" s="27" t="s">
        <v>33</v>
      </c>
      <c r="B70" s="28" t="s">
        <v>145</v>
      </c>
      <c r="C70" s="28" t="s">
        <v>145</v>
      </c>
      <c r="D70" s="28" t="s">
        <v>301</v>
      </c>
      <c r="E70" s="25"/>
    </row>
    <row r="71" spans="1:5">
      <c r="A71" s="27" t="s">
        <v>119</v>
      </c>
      <c r="B71" s="28" t="s">
        <v>145</v>
      </c>
      <c r="C71" s="28" t="s">
        <v>145</v>
      </c>
      <c r="D71" s="28" t="s">
        <v>302</v>
      </c>
      <c r="E71" s="25"/>
    </row>
    <row r="72" spans="1:5">
      <c r="A72" s="27" t="s">
        <v>303</v>
      </c>
      <c r="B72" s="28" t="s">
        <v>145</v>
      </c>
      <c r="C72" s="28" t="s">
        <v>145</v>
      </c>
      <c r="D72" s="28" t="s">
        <v>304</v>
      </c>
      <c r="E72" s="25"/>
    </row>
    <row r="73" spans="1:5">
      <c r="A73" s="27" t="s">
        <v>305</v>
      </c>
      <c r="B73" s="28" t="s">
        <v>145</v>
      </c>
      <c r="C73" s="28" t="s">
        <v>305</v>
      </c>
      <c r="D73" s="28" t="s">
        <v>306</v>
      </c>
      <c r="E73" s="25"/>
    </row>
    <row r="74" spans="1:5">
      <c r="A74" s="27" t="s">
        <v>307</v>
      </c>
      <c r="B74" s="28" t="s">
        <v>308</v>
      </c>
      <c r="C74" s="28" t="s">
        <v>145</v>
      </c>
      <c r="D74" s="28" t="s">
        <v>309</v>
      </c>
      <c r="E74" s="25"/>
    </row>
    <row r="75" spans="1:5">
      <c r="A75" s="27" t="s">
        <v>310</v>
      </c>
      <c r="B75" s="28" t="s">
        <v>145</v>
      </c>
      <c r="C75" s="28" t="s">
        <v>145</v>
      </c>
      <c r="D75" s="28" t="s">
        <v>311</v>
      </c>
      <c r="E75" s="25"/>
    </row>
    <row r="76" spans="1:5">
      <c r="A76" s="27" t="s">
        <v>312</v>
      </c>
      <c r="B76" s="28" t="s">
        <v>313</v>
      </c>
      <c r="C76" s="28" t="s">
        <v>145</v>
      </c>
      <c r="D76" s="28" t="s">
        <v>314</v>
      </c>
      <c r="E76" s="25"/>
    </row>
    <row r="77" spans="1:5">
      <c r="A77" s="27" t="s">
        <v>315</v>
      </c>
      <c r="B77" s="28" t="s">
        <v>145</v>
      </c>
      <c r="C77" s="28" t="s">
        <v>145</v>
      </c>
      <c r="D77" s="28" t="s">
        <v>316</v>
      </c>
      <c r="E77" s="25"/>
    </row>
    <row r="78" spans="1:5">
      <c r="A78" s="27" t="s">
        <v>34</v>
      </c>
      <c r="B78" s="28" t="s">
        <v>145</v>
      </c>
      <c r="C78" s="28" t="s">
        <v>145</v>
      </c>
      <c r="D78" s="28" t="s">
        <v>317</v>
      </c>
      <c r="E78" s="25"/>
    </row>
    <row r="79" spans="1:5">
      <c r="A79" s="27" t="s">
        <v>86</v>
      </c>
      <c r="B79" s="28" t="s">
        <v>145</v>
      </c>
      <c r="C79" s="28" t="s">
        <v>145</v>
      </c>
      <c r="D79" s="28" t="s">
        <v>318</v>
      </c>
      <c r="E79" s="25"/>
    </row>
    <row r="80" spans="1:5">
      <c r="A80" s="27" t="s">
        <v>319</v>
      </c>
      <c r="B80" s="28" t="s">
        <v>320</v>
      </c>
      <c r="C80" s="28" t="s">
        <v>145</v>
      </c>
      <c r="D80" s="28" t="s">
        <v>321</v>
      </c>
      <c r="E80" s="25"/>
    </row>
    <row r="81" spans="1:5">
      <c r="A81" s="27" t="s">
        <v>322</v>
      </c>
      <c r="B81" s="28" t="s">
        <v>323</v>
      </c>
      <c r="C81" s="28" t="s">
        <v>145</v>
      </c>
      <c r="D81" s="28" t="s">
        <v>324</v>
      </c>
      <c r="E81" s="25"/>
    </row>
    <row r="82" spans="1:5">
      <c r="A82" s="27" t="s">
        <v>111</v>
      </c>
      <c r="B82" s="28" t="s">
        <v>145</v>
      </c>
      <c r="C82" s="28" t="s">
        <v>145</v>
      </c>
      <c r="D82" s="28" t="s">
        <v>325</v>
      </c>
      <c r="E82" s="25"/>
    </row>
    <row r="83" spans="1:5">
      <c r="A83" s="27" t="s">
        <v>129</v>
      </c>
      <c r="B83" s="28" t="s">
        <v>145</v>
      </c>
      <c r="C83" s="28" t="s">
        <v>145</v>
      </c>
      <c r="D83" s="28" t="s">
        <v>326</v>
      </c>
      <c r="E83" s="25"/>
    </row>
    <row r="84" spans="1:5">
      <c r="A84" s="27" t="s">
        <v>327</v>
      </c>
      <c r="B84" s="28" t="s">
        <v>145</v>
      </c>
      <c r="C84" s="28" t="s">
        <v>145</v>
      </c>
      <c r="D84" s="28" t="s">
        <v>328</v>
      </c>
      <c r="E84" s="25"/>
    </row>
    <row r="85" spans="1:5">
      <c r="A85" s="27" t="s">
        <v>329</v>
      </c>
      <c r="B85" s="28" t="s">
        <v>145</v>
      </c>
      <c r="C85" s="28" t="s">
        <v>145</v>
      </c>
      <c r="D85" s="28" t="s">
        <v>330</v>
      </c>
      <c r="E85" s="25"/>
    </row>
    <row r="86" spans="1:5">
      <c r="A86" s="27" t="s">
        <v>96</v>
      </c>
      <c r="B86" s="28" t="s">
        <v>145</v>
      </c>
      <c r="C86" s="28" t="s">
        <v>145</v>
      </c>
      <c r="D86" s="28" t="s">
        <v>259</v>
      </c>
      <c r="E86" s="25"/>
    </row>
    <row r="87" spans="1:5">
      <c r="A87" s="27" t="s">
        <v>331</v>
      </c>
      <c r="B87" s="28" t="s">
        <v>145</v>
      </c>
      <c r="C87" s="28" t="s">
        <v>145</v>
      </c>
      <c r="D87" s="28" t="s">
        <v>332</v>
      </c>
      <c r="E87" s="25"/>
    </row>
    <row r="88" spans="1:5">
      <c r="A88" s="27" t="s">
        <v>333</v>
      </c>
      <c r="B88" s="28" t="s">
        <v>145</v>
      </c>
      <c r="C88" s="28" t="s">
        <v>145</v>
      </c>
      <c r="D88" s="28" t="s">
        <v>334</v>
      </c>
      <c r="E88" s="25"/>
    </row>
    <row r="89" spans="1:5">
      <c r="A89" s="27" t="s">
        <v>335</v>
      </c>
      <c r="B89" s="28" t="s">
        <v>145</v>
      </c>
      <c r="C89" s="28" t="s">
        <v>145</v>
      </c>
      <c r="D89" s="28" t="s">
        <v>336</v>
      </c>
      <c r="E89" s="25"/>
    </row>
    <row r="90" spans="1:5">
      <c r="A90" s="27" t="s">
        <v>14</v>
      </c>
      <c r="B90" s="28" t="s">
        <v>337</v>
      </c>
      <c r="C90" s="28" t="s">
        <v>145</v>
      </c>
      <c r="D90" s="28" t="s">
        <v>338</v>
      </c>
      <c r="E90" s="25"/>
    </row>
    <row r="91" spans="1:5">
      <c r="A91" s="27" t="s">
        <v>339</v>
      </c>
      <c r="B91" s="28" t="s">
        <v>145</v>
      </c>
      <c r="C91" s="28" t="s">
        <v>145</v>
      </c>
      <c r="D91" s="28" t="s">
        <v>145</v>
      </c>
      <c r="E91" s="25"/>
    </row>
    <row r="92" spans="1:5">
      <c r="A92" s="27" t="s">
        <v>103</v>
      </c>
      <c r="B92" s="28" t="s">
        <v>145</v>
      </c>
      <c r="C92" s="28" t="s">
        <v>145</v>
      </c>
      <c r="D92" s="28" t="s">
        <v>340</v>
      </c>
      <c r="E92" s="25"/>
    </row>
    <row r="93" spans="1:5">
      <c r="A93" s="27" t="s">
        <v>341</v>
      </c>
      <c r="B93" s="28" t="s">
        <v>145</v>
      </c>
      <c r="C93" s="28" t="s">
        <v>145</v>
      </c>
      <c r="D93" s="28" t="s">
        <v>342</v>
      </c>
      <c r="E93" s="25"/>
    </row>
    <row r="94" spans="1:5">
      <c r="A94" s="27" t="s">
        <v>343</v>
      </c>
      <c r="B94" s="28" t="s">
        <v>344</v>
      </c>
      <c r="C94" s="28" t="s">
        <v>145</v>
      </c>
      <c r="D94" s="28" t="s">
        <v>345</v>
      </c>
      <c r="E94" s="25"/>
    </row>
    <row r="95" spans="1:5">
      <c r="A95" s="27" t="s">
        <v>346</v>
      </c>
      <c r="B95" s="28" t="s">
        <v>145</v>
      </c>
      <c r="C95" s="28" t="s">
        <v>145</v>
      </c>
      <c r="D95" s="28" t="s">
        <v>347</v>
      </c>
      <c r="E95" s="25"/>
    </row>
    <row r="96" spans="1:5">
      <c r="A96" s="27" t="s">
        <v>85</v>
      </c>
      <c r="B96" s="28" t="s">
        <v>145</v>
      </c>
      <c r="C96" s="28" t="s">
        <v>145</v>
      </c>
      <c r="D96" s="28" t="s">
        <v>348</v>
      </c>
      <c r="E96" s="25"/>
    </row>
    <row r="97" spans="1:5">
      <c r="A97" s="27" t="s">
        <v>349</v>
      </c>
      <c r="B97" s="28" t="s">
        <v>350</v>
      </c>
      <c r="C97" s="28" t="s">
        <v>145</v>
      </c>
      <c r="D97" s="28" t="s">
        <v>351</v>
      </c>
      <c r="E97" s="25"/>
    </row>
    <row r="98" spans="1:5">
      <c r="A98" s="27" t="s">
        <v>352</v>
      </c>
      <c r="B98" s="28" t="s">
        <v>145</v>
      </c>
      <c r="C98" s="28" t="s">
        <v>145</v>
      </c>
      <c r="D98" s="28" t="s">
        <v>353</v>
      </c>
      <c r="E98" s="25"/>
    </row>
    <row r="99" spans="1:5">
      <c r="A99" s="27" t="s">
        <v>354</v>
      </c>
      <c r="B99" s="28" t="s">
        <v>145</v>
      </c>
      <c r="C99" s="28" t="s">
        <v>145</v>
      </c>
      <c r="D99" s="28" t="s">
        <v>355</v>
      </c>
      <c r="E99" s="25"/>
    </row>
    <row r="100" spans="1:5">
      <c r="A100" s="27" t="s">
        <v>37</v>
      </c>
      <c r="B100" s="28" t="s">
        <v>145</v>
      </c>
      <c r="C100" s="28" t="s">
        <v>145</v>
      </c>
      <c r="D100" s="28" t="s">
        <v>356</v>
      </c>
      <c r="E100" s="25"/>
    </row>
    <row r="101" spans="1:5">
      <c r="A101" s="27" t="s">
        <v>49</v>
      </c>
      <c r="B101" s="28" t="s">
        <v>145</v>
      </c>
      <c r="C101" s="28" t="s">
        <v>145</v>
      </c>
      <c r="D101" s="28" t="s">
        <v>357</v>
      </c>
      <c r="E101" s="25"/>
    </row>
    <row r="102" spans="1:5">
      <c r="A102" s="27" t="s">
        <v>358</v>
      </c>
      <c r="B102" s="28" t="s">
        <v>145</v>
      </c>
      <c r="C102" s="28" t="s">
        <v>145</v>
      </c>
      <c r="D102" s="28" t="s">
        <v>359</v>
      </c>
      <c r="E102" s="25"/>
    </row>
    <row r="103" spans="1:5">
      <c r="A103" s="27" t="s">
        <v>360</v>
      </c>
      <c r="B103" s="28" t="s">
        <v>145</v>
      </c>
      <c r="C103" s="28" t="s">
        <v>145</v>
      </c>
      <c r="D103" s="28" t="s">
        <v>361</v>
      </c>
      <c r="E103" s="25"/>
    </row>
    <row r="104" spans="1:5">
      <c r="A104" s="27" t="s">
        <v>362</v>
      </c>
      <c r="B104" s="28" t="s">
        <v>145</v>
      </c>
      <c r="C104" s="28" t="s">
        <v>145</v>
      </c>
      <c r="D104" s="28" t="s">
        <v>145</v>
      </c>
      <c r="E104" s="25"/>
    </row>
    <row r="105" spans="1:5">
      <c r="A105" s="27" t="s">
        <v>58</v>
      </c>
      <c r="B105" s="28" t="s">
        <v>363</v>
      </c>
      <c r="C105" s="28" t="s">
        <v>145</v>
      </c>
      <c r="D105" s="28" t="s">
        <v>364</v>
      </c>
      <c r="E105" s="25"/>
    </row>
    <row r="106" spans="1:5">
      <c r="A106" s="27" t="s">
        <v>365</v>
      </c>
      <c r="B106" s="28" t="s">
        <v>145</v>
      </c>
      <c r="C106" s="28" t="s">
        <v>145</v>
      </c>
      <c r="D106" s="28" t="s">
        <v>366</v>
      </c>
      <c r="E106" s="25"/>
    </row>
    <row r="107" spans="1:5">
      <c r="A107" s="27" t="s">
        <v>367</v>
      </c>
      <c r="B107" s="28" t="s">
        <v>145</v>
      </c>
      <c r="C107" s="28" t="s">
        <v>145</v>
      </c>
      <c r="D107" s="28" t="s">
        <v>368</v>
      </c>
      <c r="E107" s="25"/>
    </row>
    <row r="108" spans="1:5">
      <c r="A108" s="27" t="s">
        <v>369</v>
      </c>
      <c r="B108" s="28" t="s">
        <v>145</v>
      </c>
      <c r="C108" s="28" t="s">
        <v>145</v>
      </c>
      <c r="D108" s="28" t="s">
        <v>370</v>
      </c>
      <c r="E108" s="25"/>
    </row>
    <row r="109" spans="1:5">
      <c r="A109" s="27" t="s">
        <v>371</v>
      </c>
      <c r="B109" s="28" t="s">
        <v>145</v>
      </c>
      <c r="C109" s="28" t="s">
        <v>145</v>
      </c>
      <c r="D109" s="28" t="s">
        <v>372</v>
      </c>
      <c r="E109" s="25"/>
    </row>
    <row r="110" spans="1:5">
      <c r="A110" s="27" t="s">
        <v>373</v>
      </c>
      <c r="B110" s="28" t="s">
        <v>145</v>
      </c>
      <c r="C110" s="28" t="s">
        <v>145</v>
      </c>
      <c r="D110" s="28" t="s">
        <v>374</v>
      </c>
      <c r="E110" s="25"/>
    </row>
    <row r="111" spans="1:5" ht="21.5">
      <c r="A111" s="27" t="s">
        <v>66</v>
      </c>
      <c r="B111" s="28" t="s">
        <v>145</v>
      </c>
      <c r="C111" s="28" t="s">
        <v>145</v>
      </c>
      <c r="D111" s="28" t="s">
        <v>375</v>
      </c>
      <c r="E111" s="25"/>
    </row>
    <row r="112" spans="1:5">
      <c r="A112" s="27" t="s">
        <v>376</v>
      </c>
      <c r="B112" s="28" t="s">
        <v>145</v>
      </c>
      <c r="C112" s="28" t="s">
        <v>376</v>
      </c>
      <c r="D112" s="28" t="s">
        <v>377</v>
      </c>
      <c r="E112" s="25"/>
    </row>
    <row r="113" spans="1:5">
      <c r="A113" s="27" t="s">
        <v>378</v>
      </c>
      <c r="B113" s="28" t="s">
        <v>379</v>
      </c>
      <c r="C113" s="28" t="s">
        <v>145</v>
      </c>
      <c r="D113" s="28" t="s">
        <v>380</v>
      </c>
      <c r="E113" s="25"/>
    </row>
    <row r="114" spans="1:5">
      <c r="A114" s="27" t="s">
        <v>381</v>
      </c>
      <c r="B114" s="28" t="s">
        <v>382</v>
      </c>
      <c r="C114" s="28" t="s">
        <v>145</v>
      </c>
      <c r="D114" s="28" t="s">
        <v>383</v>
      </c>
      <c r="E114" s="25"/>
    </row>
    <row r="115" spans="1:5">
      <c r="A115" s="27" t="s">
        <v>25</v>
      </c>
      <c r="B115" s="28" t="s">
        <v>145</v>
      </c>
      <c r="C115" s="28" t="s">
        <v>145</v>
      </c>
      <c r="D115" s="28" t="s">
        <v>384</v>
      </c>
      <c r="E115" s="25"/>
    </row>
    <row r="116" spans="1:5" ht="21.5">
      <c r="A116" s="27" t="s">
        <v>385</v>
      </c>
      <c r="B116" s="28" t="s">
        <v>145</v>
      </c>
      <c r="C116" s="28" t="s">
        <v>385</v>
      </c>
      <c r="D116" s="28" t="s">
        <v>386</v>
      </c>
      <c r="E116" s="25"/>
    </row>
    <row r="117" spans="1:5">
      <c r="A117" s="27" t="s">
        <v>12</v>
      </c>
      <c r="B117" s="28" t="s">
        <v>387</v>
      </c>
      <c r="C117" s="28" t="s">
        <v>145</v>
      </c>
      <c r="D117" s="28" t="s">
        <v>388</v>
      </c>
      <c r="E117" s="25"/>
    </row>
    <row r="118" spans="1:5">
      <c r="A118" s="27" t="s">
        <v>389</v>
      </c>
      <c r="B118" s="28" t="s">
        <v>145</v>
      </c>
      <c r="C118" s="28" t="s">
        <v>145</v>
      </c>
      <c r="D118" s="28" t="s">
        <v>390</v>
      </c>
      <c r="E118" s="25"/>
    </row>
    <row r="119" spans="1:5">
      <c r="A119" s="27" t="s">
        <v>112</v>
      </c>
      <c r="B119" s="28" t="s">
        <v>145</v>
      </c>
      <c r="C119" s="28" t="s">
        <v>145</v>
      </c>
      <c r="D119" s="28" t="s">
        <v>391</v>
      </c>
      <c r="E119" s="25"/>
    </row>
    <row r="120" spans="1:5">
      <c r="A120" s="27" t="s">
        <v>39</v>
      </c>
      <c r="B120" s="28" t="s">
        <v>392</v>
      </c>
      <c r="C120" s="28" t="s">
        <v>394</v>
      </c>
      <c r="D120" s="28" t="s">
        <v>393</v>
      </c>
      <c r="E120" s="25"/>
    </row>
    <row r="121" spans="1:5">
      <c r="A121" s="27" t="s">
        <v>395</v>
      </c>
      <c r="B121" s="28" t="s">
        <v>145</v>
      </c>
      <c r="C121" s="28" t="s">
        <v>397</v>
      </c>
      <c r="D121" s="28" t="s">
        <v>396</v>
      </c>
      <c r="E121" s="25"/>
    </row>
    <row r="122" spans="1:5">
      <c r="A122" s="27" t="s">
        <v>398</v>
      </c>
      <c r="B122" s="28" t="s">
        <v>145</v>
      </c>
      <c r="C122" s="28" t="s">
        <v>145</v>
      </c>
      <c r="D122" s="28" t="s">
        <v>399</v>
      </c>
      <c r="E122" s="25"/>
    </row>
    <row r="123" spans="1:5">
      <c r="A123" s="27" t="s">
        <v>117</v>
      </c>
      <c r="B123" s="28" t="s">
        <v>145</v>
      </c>
      <c r="C123" s="28" t="s">
        <v>145</v>
      </c>
      <c r="D123" s="28" t="s">
        <v>400</v>
      </c>
      <c r="E123" s="25"/>
    </row>
    <row r="124" spans="1:5">
      <c r="A124" s="27" t="s">
        <v>401</v>
      </c>
      <c r="B124" s="28" t="s">
        <v>145</v>
      </c>
      <c r="C124" s="28" t="s">
        <v>145</v>
      </c>
      <c r="D124" s="28" t="s">
        <v>402</v>
      </c>
      <c r="E124" s="25"/>
    </row>
    <row r="125" spans="1:5">
      <c r="A125" s="27" t="s">
        <v>403</v>
      </c>
      <c r="B125" s="28" t="s">
        <v>145</v>
      </c>
      <c r="C125" s="28" t="s">
        <v>145</v>
      </c>
      <c r="D125" s="28" t="s">
        <v>404</v>
      </c>
      <c r="E125" s="25"/>
    </row>
    <row r="126" spans="1:5">
      <c r="A126" s="27" t="s">
        <v>108</v>
      </c>
      <c r="B126" s="28" t="s">
        <v>145</v>
      </c>
      <c r="C126" s="28" t="s">
        <v>145</v>
      </c>
      <c r="D126" s="28" t="s">
        <v>405</v>
      </c>
      <c r="E126" s="25"/>
    </row>
    <row r="127" spans="1:5">
      <c r="A127" s="27" t="s">
        <v>406</v>
      </c>
      <c r="B127" s="28" t="s">
        <v>145</v>
      </c>
      <c r="C127" s="28" t="s">
        <v>145</v>
      </c>
      <c r="D127" s="28" t="s">
        <v>145</v>
      </c>
      <c r="E127" s="25"/>
    </row>
    <row r="128" spans="1:5">
      <c r="A128" s="27" t="s">
        <v>407</v>
      </c>
      <c r="B128" s="28" t="s">
        <v>408</v>
      </c>
      <c r="C128" s="28" t="s">
        <v>145</v>
      </c>
      <c r="D128" s="28" t="s">
        <v>409</v>
      </c>
      <c r="E128" s="25"/>
    </row>
    <row r="129" spans="1:5">
      <c r="A129" s="27" t="s">
        <v>410</v>
      </c>
      <c r="B129" s="28" t="s">
        <v>411</v>
      </c>
      <c r="C129" s="28" t="s">
        <v>413</v>
      </c>
      <c r="D129" s="28" t="s">
        <v>412</v>
      </c>
      <c r="E129" s="25"/>
    </row>
    <row r="130" spans="1:5">
      <c r="A130" s="27" t="s">
        <v>414</v>
      </c>
      <c r="B130" s="28" t="s">
        <v>145</v>
      </c>
      <c r="C130" s="28" t="s">
        <v>145</v>
      </c>
      <c r="D130" s="28" t="s">
        <v>415</v>
      </c>
      <c r="E130" s="25"/>
    </row>
    <row r="131" spans="1:5">
      <c r="A131" s="27" t="s">
        <v>416</v>
      </c>
      <c r="B131" s="28" t="s">
        <v>417</v>
      </c>
      <c r="C131" s="28" t="s">
        <v>145</v>
      </c>
      <c r="D131" s="28" t="s">
        <v>418</v>
      </c>
      <c r="E131" s="31" t="s">
        <v>682</v>
      </c>
    </row>
    <row r="132" spans="1:5">
      <c r="A132" s="27" t="s">
        <v>419</v>
      </c>
      <c r="B132" s="28" t="s">
        <v>145</v>
      </c>
      <c r="C132" s="28" t="s">
        <v>145</v>
      </c>
      <c r="D132" s="28" t="s">
        <v>420</v>
      </c>
      <c r="E132" s="25"/>
    </row>
    <row r="133" spans="1:5">
      <c r="A133" s="27" t="s">
        <v>127</v>
      </c>
      <c r="B133" s="28" t="s">
        <v>145</v>
      </c>
      <c r="C133" s="28" t="s">
        <v>145</v>
      </c>
      <c r="D133" s="28" t="s">
        <v>421</v>
      </c>
      <c r="E133" s="25"/>
    </row>
    <row r="134" spans="1:5">
      <c r="A134" s="27" t="s">
        <v>130</v>
      </c>
      <c r="B134" s="28" t="s">
        <v>422</v>
      </c>
      <c r="C134" s="28" t="s">
        <v>145</v>
      </c>
      <c r="D134" s="28" t="s">
        <v>423</v>
      </c>
      <c r="E134" s="25"/>
    </row>
    <row r="135" spans="1:5">
      <c r="A135" s="27" t="s">
        <v>424</v>
      </c>
      <c r="B135" s="28" t="s">
        <v>145</v>
      </c>
      <c r="C135" s="28" t="s">
        <v>145</v>
      </c>
      <c r="D135" s="28" t="s">
        <v>425</v>
      </c>
      <c r="E135" s="25"/>
    </row>
    <row r="136" spans="1:5">
      <c r="A136" s="27" t="s">
        <v>426</v>
      </c>
      <c r="B136" s="28" t="s">
        <v>145</v>
      </c>
      <c r="C136" s="28" t="s">
        <v>145</v>
      </c>
      <c r="D136" s="28" t="s">
        <v>145</v>
      </c>
      <c r="E136" s="25"/>
    </row>
    <row r="137" spans="1:5">
      <c r="A137" s="27" t="s">
        <v>427</v>
      </c>
      <c r="B137" s="28" t="s">
        <v>428</v>
      </c>
      <c r="C137" s="28" t="s">
        <v>145</v>
      </c>
      <c r="D137" s="28" t="s">
        <v>429</v>
      </c>
      <c r="E137" s="25"/>
    </row>
    <row r="138" spans="1:5">
      <c r="A138" s="27" t="s">
        <v>430</v>
      </c>
      <c r="B138" s="28" t="s">
        <v>431</v>
      </c>
      <c r="C138" s="28" t="s">
        <v>145</v>
      </c>
      <c r="D138" s="28" t="s">
        <v>432</v>
      </c>
      <c r="E138" s="25"/>
    </row>
    <row r="139" spans="1:5">
      <c r="A139" s="27" t="s">
        <v>433</v>
      </c>
      <c r="B139" s="28" t="s">
        <v>145</v>
      </c>
      <c r="C139" s="28" t="s">
        <v>145</v>
      </c>
      <c r="D139" s="28" t="s">
        <v>434</v>
      </c>
      <c r="E139" s="25"/>
    </row>
    <row r="140" spans="1:5">
      <c r="A140" s="27" t="s">
        <v>59</v>
      </c>
      <c r="B140" s="28" t="s">
        <v>435</v>
      </c>
      <c r="C140" s="28" t="s">
        <v>145</v>
      </c>
      <c r="D140" s="28" t="s">
        <v>436</v>
      </c>
      <c r="E140" s="25"/>
    </row>
    <row r="141" spans="1:5">
      <c r="A141" s="27" t="s">
        <v>437</v>
      </c>
      <c r="B141" s="28" t="s">
        <v>145</v>
      </c>
      <c r="C141" s="28" t="s">
        <v>145</v>
      </c>
      <c r="D141" s="28" t="s">
        <v>438</v>
      </c>
      <c r="E141" s="25"/>
    </row>
    <row r="142" spans="1:5">
      <c r="A142" s="27" t="s">
        <v>23</v>
      </c>
      <c r="B142" s="28" t="s">
        <v>439</v>
      </c>
      <c r="C142" s="28" t="s">
        <v>145</v>
      </c>
      <c r="D142" s="28" t="s">
        <v>440</v>
      </c>
      <c r="E142" s="25"/>
    </row>
    <row r="143" spans="1:5">
      <c r="A143" s="27" t="s">
        <v>42</v>
      </c>
      <c r="B143" s="28" t="s">
        <v>441</v>
      </c>
      <c r="C143" s="28" t="s">
        <v>145</v>
      </c>
      <c r="D143" s="28" t="s">
        <v>442</v>
      </c>
      <c r="E143" s="25"/>
    </row>
    <row r="144" spans="1:5">
      <c r="A144" s="27" t="s">
        <v>443</v>
      </c>
      <c r="B144" s="28" t="s">
        <v>145</v>
      </c>
      <c r="C144" s="28" t="s">
        <v>443</v>
      </c>
      <c r="D144" s="28" t="s">
        <v>444</v>
      </c>
      <c r="E144" s="25"/>
    </row>
    <row r="145" spans="1:5">
      <c r="A145" s="27" t="s">
        <v>105</v>
      </c>
      <c r="B145" s="28" t="s">
        <v>145</v>
      </c>
      <c r="C145" s="28" t="s">
        <v>145</v>
      </c>
      <c r="D145" s="28" t="s">
        <v>445</v>
      </c>
      <c r="E145" s="25"/>
    </row>
    <row r="146" spans="1:5">
      <c r="A146" s="27" t="s">
        <v>97</v>
      </c>
      <c r="B146" s="28" t="s">
        <v>145</v>
      </c>
      <c r="C146" s="28" t="s">
        <v>145</v>
      </c>
      <c r="D146" s="28" t="s">
        <v>446</v>
      </c>
      <c r="E146" s="25"/>
    </row>
    <row r="147" spans="1:5">
      <c r="A147" s="27" t="s">
        <v>136</v>
      </c>
      <c r="B147" s="28" t="s">
        <v>447</v>
      </c>
      <c r="C147" s="28" t="s">
        <v>145</v>
      </c>
      <c r="D147" s="28" t="s">
        <v>448</v>
      </c>
      <c r="E147" s="25"/>
    </row>
    <row r="148" spans="1:5">
      <c r="A148" s="27" t="s">
        <v>449</v>
      </c>
      <c r="B148" s="28" t="s">
        <v>145</v>
      </c>
      <c r="C148" s="28" t="s">
        <v>450</v>
      </c>
      <c r="D148" s="28" t="s">
        <v>145</v>
      </c>
      <c r="E148" s="25"/>
    </row>
    <row r="149" spans="1:5">
      <c r="A149" s="27" t="s">
        <v>451</v>
      </c>
      <c r="B149" s="28" t="s">
        <v>452</v>
      </c>
      <c r="C149" s="28" t="s">
        <v>145</v>
      </c>
      <c r="D149" s="28" t="s">
        <v>453</v>
      </c>
      <c r="E149" s="25"/>
    </row>
    <row r="150" spans="1:5">
      <c r="A150" s="27" t="s">
        <v>454</v>
      </c>
      <c r="B150" s="28" t="s">
        <v>145</v>
      </c>
      <c r="C150" s="28" t="s">
        <v>145</v>
      </c>
      <c r="D150" s="28" t="s">
        <v>455</v>
      </c>
      <c r="E150" s="25"/>
    </row>
    <row r="151" spans="1:5">
      <c r="A151" s="27" t="s">
        <v>456</v>
      </c>
      <c r="B151" s="28" t="s">
        <v>145</v>
      </c>
      <c r="C151" s="28" t="s">
        <v>145</v>
      </c>
      <c r="D151" s="28" t="s">
        <v>457</v>
      </c>
      <c r="E151" s="25"/>
    </row>
    <row r="152" spans="1:5">
      <c r="A152" s="27" t="s">
        <v>458</v>
      </c>
      <c r="B152" s="28" t="s">
        <v>145</v>
      </c>
      <c r="C152" s="28" t="s">
        <v>145</v>
      </c>
      <c r="D152" s="28" t="s">
        <v>459</v>
      </c>
      <c r="E152" s="25"/>
    </row>
    <row r="153" spans="1:5">
      <c r="A153" s="27" t="s">
        <v>57</v>
      </c>
      <c r="B153" s="28" t="s">
        <v>145</v>
      </c>
      <c r="C153" s="28" t="s">
        <v>145</v>
      </c>
      <c r="D153" s="28" t="s">
        <v>460</v>
      </c>
      <c r="E153" s="25"/>
    </row>
    <row r="154" spans="1:5">
      <c r="A154" s="27" t="s">
        <v>461</v>
      </c>
      <c r="B154" s="28" t="s">
        <v>145</v>
      </c>
      <c r="C154" s="28" t="s">
        <v>145</v>
      </c>
      <c r="D154" s="28" t="s">
        <v>462</v>
      </c>
      <c r="E154" s="25"/>
    </row>
    <row r="155" spans="1:5">
      <c r="A155" s="27" t="s">
        <v>463</v>
      </c>
      <c r="B155" s="28" t="s">
        <v>145</v>
      </c>
      <c r="C155" s="28" t="s">
        <v>145</v>
      </c>
      <c r="D155" s="28" t="s">
        <v>464</v>
      </c>
      <c r="E155" s="25"/>
    </row>
    <row r="156" spans="1:5">
      <c r="A156" s="27" t="s">
        <v>465</v>
      </c>
      <c r="B156" s="28" t="s">
        <v>466</v>
      </c>
      <c r="C156" s="28" t="s">
        <v>145</v>
      </c>
      <c r="D156" s="28" t="s">
        <v>467</v>
      </c>
      <c r="E156" s="25"/>
    </row>
    <row r="157" spans="1:5">
      <c r="A157" s="27" t="s">
        <v>468</v>
      </c>
      <c r="B157" s="28" t="s">
        <v>145</v>
      </c>
      <c r="C157" s="28" t="s">
        <v>145</v>
      </c>
      <c r="D157" s="28" t="s">
        <v>469</v>
      </c>
      <c r="E157" s="25"/>
    </row>
    <row r="158" spans="1:5">
      <c r="A158" s="27" t="s">
        <v>470</v>
      </c>
      <c r="B158" s="28" t="s">
        <v>145</v>
      </c>
      <c r="C158" s="28" t="s">
        <v>145</v>
      </c>
      <c r="D158" s="28" t="s">
        <v>471</v>
      </c>
      <c r="E158" s="25"/>
    </row>
    <row r="159" spans="1:5">
      <c r="A159" s="27" t="s">
        <v>472</v>
      </c>
      <c r="B159" s="28" t="s">
        <v>145</v>
      </c>
      <c r="C159" s="28" t="s">
        <v>145</v>
      </c>
      <c r="D159" s="28" t="s">
        <v>473</v>
      </c>
      <c r="E159" s="25"/>
    </row>
    <row r="160" spans="1:5" ht="21.5">
      <c r="A160" s="27" t="s">
        <v>92</v>
      </c>
      <c r="B160" s="28" t="s">
        <v>474</v>
      </c>
      <c r="C160" s="28" t="s">
        <v>145</v>
      </c>
      <c r="D160" s="28" t="s">
        <v>684</v>
      </c>
      <c r="E160" s="31" t="s">
        <v>683</v>
      </c>
    </row>
    <row r="161" spans="1:5">
      <c r="A161" s="27" t="s">
        <v>475</v>
      </c>
      <c r="B161" s="28" t="s">
        <v>145</v>
      </c>
      <c r="C161" s="28" t="s">
        <v>145</v>
      </c>
      <c r="D161" s="28" t="s">
        <v>476</v>
      </c>
      <c r="E161" s="25"/>
    </row>
    <row r="162" spans="1:5">
      <c r="A162" s="27" t="s">
        <v>477</v>
      </c>
      <c r="B162" s="28" t="s">
        <v>145</v>
      </c>
      <c r="C162" s="28" t="s">
        <v>145</v>
      </c>
      <c r="D162" s="28" t="s">
        <v>145</v>
      </c>
      <c r="E162" s="25"/>
    </row>
    <row r="163" spans="1:5">
      <c r="A163" s="27" t="s">
        <v>115</v>
      </c>
      <c r="B163" s="28" t="s">
        <v>145</v>
      </c>
      <c r="C163" s="28" t="s">
        <v>145</v>
      </c>
      <c r="D163" s="28" t="s">
        <v>478</v>
      </c>
      <c r="E163" s="25"/>
    </row>
    <row r="164" spans="1:5">
      <c r="A164" s="27" t="s">
        <v>479</v>
      </c>
      <c r="B164" s="28" t="s">
        <v>145</v>
      </c>
      <c r="C164" s="28" t="s">
        <v>145</v>
      </c>
      <c r="D164" s="28" t="s">
        <v>480</v>
      </c>
      <c r="E164" s="25"/>
    </row>
    <row r="165" spans="1:5">
      <c r="A165" s="27" t="s">
        <v>481</v>
      </c>
      <c r="B165" s="28" t="s">
        <v>145</v>
      </c>
      <c r="C165" s="28" t="s">
        <v>145</v>
      </c>
      <c r="D165" s="28" t="s">
        <v>374</v>
      </c>
      <c r="E165" s="25"/>
    </row>
    <row r="166" spans="1:5">
      <c r="A166" s="27" t="s">
        <v>482</v>
      </c>
      <c r="B166" s="28" t="s">
        <v>145</v>
      </c>
      <c r="C166" s="28" t="s">
        <v>145</v>
      </c>
      <c r="D166" s="28" t="s">
        <v>483</v>
      </c>
      <c r="E166" s="25"/>
    </row>
    <row r="167" spans="1:5">
      <c r="A167" s="27" t="s">
        <v>484</v>
      </c>
      <c r="B167" s="28" t="s">
        <v>485</v>
      </c>
      <c r="C167" s="28" t="s">
        <v>145</v>
      </c>
      <c r="D167" s="28" t="s">
        <v>486</v>
      </c>
      <c r="E167" s="25"/>
    </row>
    <row r="168" spans="1:5">
      <c r="A168" s="27" t="s">
        <v>10</v>
      </c>
      <c r="B168" s="28" t="s">
        <v>487</v>
      </c>
      <c r="C168" s="28" t="s">
        <v>489</v>
      </c>
      <c r="D168" s="28" t="s">
        <v>488</v>
      </c>
      <c r="E168" s="25"/>
    </row>
    <row r="169" spans="1:5">
      <c r="A169" s="27" t="s">
        <v>490</v>
      </c>
      <c r="B169" s="28" t="s">
        <v>145</v>
      </c>
      <c r="C169" s="28" t="s">
        <v>145</v>
      </c>
      <c r="D169" s="28" t="s">
        <v>491</v>
      </c>
      <c r="E169" s="25"/>
    </row>
    <row r="170" spans="1:5">
      <c r="A170" s="27" t="s">
        <v>137</v>
      </c>
      <c r="B170" s="28" t="s">
        <v>492</v>
      </c>
      <c r="C170" s="28" t="s">
        <v>145</v>
      </c>
      <c r="D170" s="28" t="s">
        <v>493</v>
      </c>
      <c r="E170" s="25"/>
    </row>
    <row r="171" spans="1:5">
      <c r="A171" s="27" t="s">
        <v>494</v>
      </c>
      <c r="B171" s="28" t="s">
        <v>495</v>
      </c>
      <c r="C171" s="28" t="s">
        <v>145</v>
      </c>
      <c r="D171" s="28" t="s">
        <v>496</v>
      </c>
      <c r="E171" s="25"/>
    </row>
    <row r="172" spans="1:5">
      <c r="A172" s="27" t="s">
        <v>88</v>
      </c>
      <c r="B172" s="28" t="s">
        <v>497</v>
      </c>
      <c r="C172" s="28" t="s">
        <v>145</v>
      </c>
      <c r="D172" s="28" t="s">
        <v>498</v>
      </c>
      <c r="E172" s="25"/>
    </row>
    <row r="173" spans="1:5">
      <c r="A173" s="27" t="s">
        <v>133</v>
      </c>
      <c r="B173" s="28" t="s">
        <v>499</v>
      </c>
      <c r="C173" s="28" t="s">
        <v>145</v>
      </c>
      <c r="D173" s="28" t="s">
        <v>500</v>
      </c>
      <c r="E173" s="25"/>
    </row>
    <row r="174" spans="1:5">
      <c r="A174" s="27" t="s">
        <v>110</v>
      </c>
      <c r="B174" s="28" t="s">
        <v>145</v>
      </c>
      <c r="C174" s="28" t="s">
        <v>145</v>
      </c>
      <c r="D174" s="28" t="s">
        <v>501</v>
      </c>
      <c r="E174" s="30" t="s">
        <v>678</v>
      </c>
    </row>
    <row r="175" spans="1:5">
      <c r="A175" s="27" t="s">
        <v>502</v>
      </c>
      <c r="B175" s="28" t="s">
        <v>145</v>
      </c>
      <c r="C175" s="28" t="s">
        <v>145</v>
      </c>
      <c r="D175" s="28" t="s">
        <v>503</v>
      </c>
      <c r="E175" s="25"/>
    </row>
    <row r="176" spans="1:5">
      <c r="A176" s="27" t="s">
        <v>504</v>
      </c>
      <c r="B176" s="28" t="s">
        <v>145</v>
      </c>
      <c r="C176" s="28" t="s">
        <v>145</v>
      </c>
      <c r="D176" s="28" t="s">
        <v>505</v>
      </c>
      <c r="E176" s="25"/>
    </row>
    <row r="177" spans="1:5">
      <c r="A177" s="27" t="s">
        <v>43</v>
      </c>
      <c r="B177" s="28" t="s">
        <v>145</v>
      </c>
      <c r="C177" s="28" t="s">
        <v>145</v>
      </c>
      <c r="D177" s="28" t="s">
        <v>506</v>
      </c>
      <c r="E177" s="25"/>
    </row>
    <row r="178" spans="1:5">
      <c r="A178" s="27" t="s">
        <v>44</v>
      </c>
      <c r="B178" s="28" t="s">
        <v>145</v>
      </c>
      <c r="C178" s="28" t="s">
        <v>145</v>
      </c>
      <c r="D178" s="28" t="s">
        <v>507</v>
      </c>
      <c r="E178" s="25"/>
    </row>
    <row r="179" spans="1:5">
      <c r="A179" s="27" t="s">
        <v>508</v>
      </c>
      <c r="B179" s="28" t="s">
        <v>145</v>
      </c>
      <c r="C179" s="28" t="s">
        <v>508</v>
      </c>
      <c r="D179" s="28" t="s">
        <v>509</v>
      </c>
      <c r="E179" s="25"/>
    </row>
    <row r="180" spans="1:5">
      <c r="A180" s="27" t="s">
        <v>510</v>
      </c>
      <c r="B180" s="28" t="s">
        <v>511</v>
      </c>
      <c r="C180" s="28" t="s">
        <v>145</v>
      </c>
      <c r="D180" s="28" t="s">
        <v>512</v>
      </c>
      <c r="E180" s="25"/>
    </row>
    <row r="181" spans="1:5">
      <c r="A181" s="27" t="s">
        <v>513</v>
      </c>
      <c r="B181" s="28" t="s">
        <v>145</v>
      </c>
      <c r="C181" s="28" t="s">
        <v>145</v>
      </c>
      <c r="D181" s="28" t="s">
        <v>514</v>
      </c>
      <c r="E181" s="25"/>
    </row>
    <row r="182" spans="1:5">
      <c r="A182" s="27" t="s">
        <v>515</v>
      </c>
      <c r="B182" s="28" t="s">
        <v>516</v>
      </c>
      <c r="C182" s="28" t="s">
        <v>145</v>
      </c>
      <c r="D182" s="28" t="s">
        <v>517</v>
      </c>
      <c r="E182" s="25"/>
    </row>
    <row r="183" spans="1:5">
      <c r="A183" s="27" t="s">
        <v>518</v>
      </c>
      <c r="B183" s="28" t="s">
        <v>145</v>
      </c>
      <c r="C183" s="28" t="s">
        <v>145</v>
      </c>
      <c r="D183" s="28" t="s">
        <v>519</v>
      </c>
      <c r="E183" s="25"/>
    </row>
    <row r="184" spans="1:5">
      <c r="A184" s="27" t="s">
        <v>520</v>
      </c>
      <c r="B184" s="28" t="s">
        <v>145</v>
      </c>
      <c r="C184" s="28" t="s">
        <v>145</v>
      </c>
      <c r="D184" s="28" t="s">
        <v>521</v>
      </c>
      <c r="E184" s="25"/>
    </row>
    <row r="185" spans="1:5">
      <c r="A185" s="27" t="s">
        <v>522</v>
      </c>
      <c r="B185" s="28" t="s">
        <v>145</v>
      </c>
      <c r="C185" s="28" t="s">
        <v>145</v>
      </c>
      <c r="D185" s="28" t="s">
        <v>523</v>
      </c>
      <c r="E185" s="25"/>
    </row>
    <row r="186" spans="1:5">
      <c r="A186" s="27" t="s">
        <v>524</v>
      </c>
      <c r="B186" s="28" t="s">
        <v>525</v>
      </c>
      <c r="C186" s="28" t="s">
        <v>145</v>
      </c>
      <c r="D186" s="28" t="s">
        <v>526</v>
      </c>
      <c r="E186" s="25"/>
    </row>
    <row r="187" spans="1:5">
      <c r="A187" s="27" t="s">
        <v>104</v>
      </c>
      <c r="B187" s="28" t="s">
        <v>145</v>
      </c>
      <c r="C187" s="28" t="s">
        <v>145</v>
      </c>
      <c r="D187" s="28" t="s">
        <v>527</v>
      </c>
      <c r="E187" s="25"/>
    </row>
    <row r="188" spans="1:5">
      <c r="A188" s="27" t="s">
        <v>84</v>
      </c>
      <c r="B188" s="28" t="s">
        <v>528</v>
      </c>
      <c r="C188" s="28" t="s">
        <v>145</v>
      </c>
      <c r="D188" s="28" t="s">
        <v>529</v>
      </c>
      <c r="E188" s="25"/>
    </row>
    <row r="189" spans="1:5">
      <c r="A189" s="27" t="s">
        <v>131</v>
      </c>
      <c r="B189" s="28" t="s">
        <v>145</v>
      </c>
      <c r="C189" s="28" t="s">
        <v>145</v>
      </c>
      <c r="D189" s="28" t="s">
        <v>530</v>
      </c>
      <c r="E189" s="25"/>
    </row>
    <row r="190" spans="1:5">
      <c r="A190" s="27" t="s">
        <v>24</v>
      </c>
      <c r="B190" s="28" t="s">
        <v>531</v>
      </c>
      <c r="C190" s="28" t="s">
        <v>145</v>
      </c>
      <c r="D190" s="28" t="s">
        <v>442</v>
      </c>
      <c r="E190" s="25"/>
    </row>
    <row r="191" spans="1:5" ht="21.5">
      <c r="A191" s="27" t="s">
        <v>532</v>
      </c>
      <c r="B191" s="28" t="s">
        <v>145</v>
      </c>
      <c r="C191" s="28" t="s">
        <v>532</v>
      </c>
      <c r="D191" s="28" t="s">
        <v>533</v>
      </c>
      <c r="E191" s="25"/>
    </row>
    <row r="192" spans="1:5">
      <c r="A192" s="27" t="s">
        <v>534</v>
      </c>
      <c r="B192" s="28" t="s">
        <v>145</v>
      </c>
      <c r="C192" s="28" t="s">
        <v>145</v>
      </c>
      <c r="D192" s="28" t="s">
        <v>535</v>
      </c>
      <c r="E192" s="25"/>
    </row>
    <row r="193" spans="1:5">
      <c r="A193" s="27" t="s">
        <v>536</v>
      </c>
      <c r="B193" s="28" t="s">
        <v>145</v>
      </c>
      <c r="C193" s="28" t="s">
        <v>145</v>
      </c>
      <c r="D193" s="28" t="s">
        <v>537</v>
      </c>
      <c r="E193" s="25"/>
    </row>
    <row r="194" spans="1:5">
      <c r="A194" s="27" t="s">
        <v>538</v>
      </c>
      <c r="B194" s="28" t="s">
        <v>539</v>
      </c>
      <c r="C194" s="28" t="s">
        <v>145</v>
      </c>
      <c r="D194" s="28" t="s">
        <v>540</v>
      </c>
      <c r="E194" s="25"/>
    </row>
    <row r="195" spans="1:5">
      <c r="A195" s="27" t="s">
        <v>135</v>
      </c>
      <c r="B195" s="28" t="s">
        <v>145</v>
      </c>
      <c r="C195" s="28" t="s">
        <v>145</v>
      </c>
      <c r="D195" s="28" t="s">
        <v>541</v>
      </c>
      <c r="E195" s="25"/>
    </row>
    <row r="196" spans="1:5">
      <c r="A196" s="27" t="s">
        <v>542</v>
      </c>
      <c r="B196" s="28" t="s">
        <v>145</v>
      </c>
      <c r="C196" s="28" t="s">
        <v>145</v>
      </c>
      <c r="D196" s="28" t="s">
        <v>543</v>
      </c>
      <c r="E196" s="25"/>
    </row>
    <row r="197" spans="1:5">
      <c r="A197" s="27" t="s">
        <v>544</v>
      </c>
      <c r="B197" s="28" t="s">
        <v>145</v>
      </c>
      <c r="C197" s="28" t="s">
        <v>145</v>
      </c>
      <c r="D197" s="28" t="s">
        <v>145</v>
      </c>
      <c r="E197" s="25"/>
    </row>
    <row r="198" spans="1:5">
      <c r="A198" s="27" t="s">
        <v>545</v>
      </c>
      <c r="B198" s="28" t="s">
        <v>546</v>
      </c>
      <c r="C198" s="28" t="s">
        <v>145</v>
      </c>
      <c r="D198" s="28" t="s">
        <v>547</v>
      </c>
      <c r="E198" s="25"/>
    </row>
    <row r="199" spans="1:5">
      <c r="A199" s="27" t="s">
        <v>100</v>
      </c>
      <c r="B199" s="28" t="s">
        <v>145</v>
      </c>
      <c r="C199" s="28" t="s">
        <v>145</v>
      </c>
      <c r="D199" s="28" t="s">
        <v>548</v>
      </c>
      <c r="E199" s="25"/>
    </row>
    <row r="200" spans="1:5">
      <c r="A200" s="27" t="s">
        <v>549</v>
      </c>
      <c r="B200" s="28" t="s">
        <v>145</v>
      </c>
      <c r="C200" s="28" t="s">
        <v>145</v>
      </c>
      <c r="D200" s="28" t="s">
        <v>550</v>
      </c>
      <c r="E200" s="25"/>
    </row>
    <row r="201" spans="1:5">
      <c r="A201" s="27" t="s">
        <v>63</v>
      </c>
      <c r="B201" s="28" t="s">
        <v>551</v>
      </c>
      <c r="C201" s="28" t="s">
        <v>145</v>
      </c>
      <c r="D201" s="28" t="s">
        <v>552</v>
      </c>
      <c r="E201" s="25"/>
    </row>
    <row r="202" spans="1:5">
      <c r="A202" s="27" t="s">
        <v>553</v>
      </c>
      <c r="B202" s="28" t="s">
        <v>145</v>
      </c>
      <c r="C202" s="28" t="s">
        <v>145</v>
      </c>
      <c r="D202" s="28" t="s">
        <v>554</v>
      </c>
      <c r="E202" s="25"/>
    </row>
    <row r="203" spans="1:5">
      <c r="A203" s="27" t="s">
        <v>555</v>
      </c>
      <c r="B203" s="28" t="s">
        <v>145</v>
      </c>
      <c r="C203" s="28" t="s">
        <v>145</v>
      </c>
      <c r="D203" s="28" t="s">
        <v>556</v>
      </c>
      <c r="E203" s="25"/>
    </row>
    <row r="204" spans="1:5">
      <c r="A204" s="27" t="s">
        <v>557</v>
      </c>
      <c r="B204" s="28" t="s">
        <v>145</v>
      </c>
      <c r="C204" s="28" t="s">
        <v>145</v>
      </c>
      <c r="D204" s="28" t="s">
        <v>368</v>
      </c>
      <c r="E204" s="25"/>
    </row>
    <row r="205" spans="1:5">
      <c r="A205" s="27" t="s">
        <v>27</v>
      </c>
      <c r="B205" s="28" t="s">
        <v>145</v>
      </c>
      <c r="C205" s="28" t="s">
        <v>145</v>
      </c>
      <c r="D205" s="28" t="s">
        <v>558</v>
      </c>
      <c r="E205" s="25"/>
    </row>
    <row r="206" spans="1:5" ht="21.5">
      <c r="A206" s="27" t="s">
        <v>46</v>
      </c>
      <c r="B206" s="28" t="s">
        <v>145</v>
      </c>
      <c r="C206" s="28" t="s">
        <v>46</v>
      </c>
      <c r="D206" s="28" t="s">
        <v>559</v>
      </c>
      <c r="E206" s="25"/>
    </row>
    <row r="207" spans="1:5">
      <c r="A207" s="27" t="s">
        <v>47</v>
      </c>
      <c r="B207" s="28" t="s">
        <v>145</v>
      </c>
      <c r="C207" s="28" t="s">
        <v>145</v>
      </c>
      <c r="D207" s="28" t="s">
        <v>560</v>
      </c>
      <c r="E207" s="25"/>
    </row>
    <row r="208" spans="1:5">
      <c r="A208" s="27" t="s">
        <v>128</v>
      </c>
      <c r="B208" s="28" t="s">
        <v>561</v>
      </c>
      <c r="C208" s="28" t="s">
        <v>145</v>
      </c>
      <c r="D208" s="28" t="s">
        <v>562</v>
      </c>
      <c r="E208" s="25"/>
    </row>
    <row r="209" spans="1:5">
      <c r="A209" s="27" t="s">
        <v>563</v>
      </c>
      <c r="B209" s="28" t="s">
        <v>145</v>
      </c>
      <c r="C209" s="28" t="s">
        <v>145</v>
      </c>
      <c r="D209" s="28" t="s">
        <v>564</v>
      </c>
      <c r="E209" s="25"/>
    </row>
    <row r="210" spans="1:5">
      <c r="A210" s="27" t="s">
        <v>116</v>
      </c>
      <c r="B210" s="28" t="s">
        <v>565</v>
      </c>
      <c r="C210" s="28" t="s">
        <v>145</v>
      </c>
      <c r="D210" s="28" t="s">
        <v>566</v>
      </c>
      <c r="E210" s="25"/>
    </row>
    <row r="211" spans="1:5">
      <c r="A211" s="27" t="s">
        <v>113</v>
      </c>
      <c r="B211" s="28" t="s">
        <v>567</v>
      </c>
      <c r="C211" s="28" t="s">
        <v>145</v>
      </c>
      <c r="D211" s="28" t="s">
        <v>568</v>
      </c>
      <c r="E211" s="25"/>
    </row>
    <row r="212" spans="1:5">
      <c r="A212" s="27" t="s">
        <v>569</v>
      </c>
      <c r="B212" s="28" t="s">
        <v>145</v>
      </c>
      <c r="C212" s="28" t="s">
        <v>145</v>
      </c>
      <c r="D212" s="28" t="s">
        <v>570</v>
      </c>
      <c r="E212" s="25"/>
    </row>
    <row r="213" spans="1:5">
      <c r="A213" s="27" t="s">
        <v>571</v>
      </c>
      <c r="B213" s="28" t="s">
        <v>572</v>
      </c>
      <c r="C213" s="28" t="s">
        <v>574</v>
      </c>
      <c r="D213" s="28" t="s">
        <v>573</v>
      </c>
      <c r="E213" s="25"/>
    </row>
    <row r="214" spans="1:5">
      <c r="A214" s="27" t="s">
        <v>575</v>
      </c>
      <c r="B214" s="28" t="s">
        <v>145</v>
      </c>
      <c r="C214" s="28" t="s">
        <v>145</v>
      </c>
      <c r="D214" s="28" t="s">
        <v>145</v>
      </c>
      <c r="E214" s="25"/>
    </row>
    <row r="215" spans="1:5">
      <c r="A215" s="27" t="s">
        <v>576</v>
      </c>
      <c r="B215" s="28" t="s">
        <v>145</v>
      </c>
      <c r="C215" s="28" t="s">
        <v>145</v>
      </c>
      <c r="D215" s="28" t="s">
        <v>145</v>
      </c>
      <c r="E215" s="25"/>
    </row>
    <row r="216" spans="1:5">
      <c r="A216" s="27" t="s">
        <v>577</v>
      </c>
      <c r="B216" s="28" t="s">
        <v>145</v>
      </c>
      <c r="C216" s="28" t="s">
        <v>145</v>
      </c>
      <c r="D216" s="28" t="s">
        <v>578</v>
      </c>
      <c r="E216" s="25"/>
    </row>
    <row r="217" spans="1:5">
      <c r="A217" s="27" t="s">
        <v>579</v>
      </c>
      <c r="B217" s="28" t="s">
        <v>145</v>
      </c>
      <c r="C217" s="28" t="s">
        <v>145</v>
      </c>
      <c r="D217" s="28" t="s">
        <v>580</v>
      </c>
      <c r="E217" s="25"/>
    </row>
    <row r="218" spans="1:5">
      <c r="A218" s="27" t="s">
        <v>56</v>
      </c>
      <c r="B218" s="28" t="s">
        <v>145</v>
      </c>
      <c r="C218" s="28" t="s">
        <v>145</v>
      </c>
      <c r="D218" s="28" t="s">
        <v>581</v>
      </c>
      <c r="E218" s="25"/>
    </row>
    <row r="219" spans="1:5">
      <c r="A219" s="27" t="s">
        <v>50</v>
      </c>
      <c r="B219" s="28" t="s">
        <v>582</v>
      </c>
      <c r="C219" s="28" t="s">
        <v>145</v>
      </c>
      <c r="D219" s="28" t="s">
        <v>583</v>
      </c>
      <c r="E219" s="25"/>
    </row>
    <row r="220" spans="1:5">
      <c r="A220" s="27" t="s">
        <v>134</v>
      </c>
      <c r="B220" s="28" t="s">
        <v>584</v>
      </c>
      <c r="C220" s="28" t="s">
        <v>145</v>
      </c>
      <c r="D220" s="28" t="s">
        <v>585</v>
      </c>
      <c r="E220" s="25"/>
    </row>
    <row r="221" spans="1:5">
      <c r="A221" s="27" t="s">
        <v>101</v>
      </c>
      <c r="B221" s="28" t="s">
        <v>145</v>
      </c>
      <c r="C221" s="28" t="s">
        <v>145</v>
      </c>
      <c r="D221" s="28" t="s">
        <v>586</v>
      </c>
      <c r="E221" s="25"/>
    </row>
    <row r="222" spans="1:5">
      <c r="A222" s="27" t="s">
        <v>83</v>
      </c>
      <c r="B222" s="28" t="s">
        <v>587</v>
      </c>
      <c r="C222" s="28" t="s">
        <v>145</v>
      </c>
      <c r="D222" s="28" t="s">
        <v>588</v>
      </c>
      <c r="E222" s="25"/>
    </row>
    <row r="223" spans="1:5">
      <c r="A223" s="27" t="s">
        <v>589</v>
      </c>
      <c r="B223" s="28" t="s">
        <v>145</v>
      </c>
      <c r="C223" s="28" t="s">
        <v>145</v>
      </c>
      <c r="D223" s="28" t="s">
        <v>590</v>
      </c>
      <c r="E223" s="25"/>
    </row>
    <row r="224" spans="1:5">
      <c r="A224" s="27" t="s">
        <v>591</v>
      </c>
      <c r="B224" s="28" t="s">
        <v>145</v>
      </c>
      <c r="C224" s="28" t="s">
        <v>145</v>
      </c>
      <c r="D224" s="28" t="s">
        <v>592</v>
      </c>
      <c r="E224" s="25"/>
    </row>
    <row r="225" spans="1:5">
      <c r="A225" s="27" t="s">
        <v>593</v>
      </c>
      <c r="B225" s="28" t="s">
        <v>145</v>
      </c>
      <c r="C225" s="28" t="s">
        <v>145</v>
      </c>
      <c r="D225" s="28" t="s">
        <v>594</v>
      </c>
      <c r="E225" s="25"/>
    </row>
    <row r="226" spans="1:5">
      <c r="A226" s="27" t="s">
        <v>91</v>
      </c>
      <c r="B226" s="28" t="s">
        <v>595</v>
      </c>
      <c r="C226" s="28" t="s">
        <v>145</v>
      </c>
      <c r="D226" s="28" t="s">
        <v>596</v>
      </c>
      <c r="E226" s="25"/>
    </row>
    <row r="227" spans="1:5">
      <c r="A227" s="27" t="s">
        <v>597</v>
      </c>
      <c r="B227" s="28" t="s">
        <v>598</v>
      </c>
      <c r="C227" s="28" t="s">
        <v>145</v>
      </c>
      <c r="D227" s="28" t="s">
        <v>599</v>
      </c>
      <c r="E227" s="25"/>
    </row>
    <row r="228" spans="1:5">
      <c r="A228" s="27" t="s">
        <v>600</v>
      </c>
      <c r="B228" s="28" t="s">
        <v>601</v>
      </c>
      <c r="C228" s="28" t="s">
        <v>145</v>
      </c>
      <c r="D228" s="28" t="s">
        <v>599</v>
      </c>
      <c r="E228" s="25"/>
    </row>
    <row r="229" spans="1:5">
      <c r="A229" s="27" t="s">
        <v>602</v>
      </c>
      <c r="B229" s="28" t="s">
        <v>603</v>
      </c>
      <c r="C229" s="28" t="s">
        <v>145</v>
      </c>
      <c r="D229" s="28" t="s">
        <v>604</v>
      </c>
      <c r="E229" s="25"/>
    </row>
    <row r="230" spans="1:5">
      <c r="A230" s="27" t="s">
        <v>605</v>
      </c>
      <c r="B230" s="28" t="s">
        <v>145</v>
      </c>
      <c r="C230" s="28" t="s">
        <v>145</v>
      </c>
      <c r="D230" s="28" t="s">
        <v>606</v>
      </c>
      <c r="E230" s="25"/>
    </row>
    <row r="231" spans="1:5">
      <c r="A231" s="27" t="s">
        <v>26</v>
      </c>
      <c r="B231" s="28" t="s">
        <v>607</v>
      </c>
      <c r="C231" s="28" t="s">
        <v>145</v>
      </c>
      <c r="D231" s="28" t="s">
        <v>608</v>
      </c>
      <c r="E231" s="25"/>
    </row>
    <row r="232" spans="1:5">
      <c r="A232" s="27" t="s">
        <v>132</v>
      </c>
      <c r="B232" s="28" t="s">
        <v>145</v>
      </c>
      <c r="C232" s="28" t="s">
        <v>145</v>
      </c>
      <c r="D232" s="28" t="s">
        <v>609</v>
      </c>
      <c r="E232" s="25"/>
    </row>
    <row r="233" spans="1:5">
      <c r="A233" s="27" t="s">
        <v>114</v>
      </c>
      <c r="B233" s="28" t="s">
        <v>145</v>
      </c>
      <c r="C233" s="28" t="s">
        <v>145</v>
      </c>
      <c r="D233" s="28" t="s">
        <v>610</v>
      </c>
      <c r="E233" s="25"/>
    </row>
    <row r="234" spans="1:5">
      <c r="A234" s="27" t="s">
        <v>138</v>
      </c>
      <c r="B234" s="28" t="s">
        <v>145</v>
      </c>
      <c r="C234" s="28" t="s">
        <v>145</v>
      </c>
      <c r="D234" s="28" t="s">
        <v>145</v>
      </c>
      <c r="E234" s="25"/>
    </row>
    <row r="235" spans="1:5">
      <c r="A235" s="27" t="s">
        <v>611</v>
      </c>
      <c r="B235" s="28" t="s">
        <v>145</v>
      </c>
      <c r="C235" s="28" t="s">
        <v>145</v>
      </c>
      <c r="D235" s="28" t="s">
        <v>612</v>
      </c>
      <c r="E235" s="25"/>
    </row>
    <row r="236" spans="1:5">
      <c r="A236" s="27" t="s">
        <v>613</v>
      </c>
      <c r="B236" s="28" t="s">
        <v>145</v>
      </c>
      <c r="C236" s="28" t="s">
        <v>145</v>
      </c>
      <c r="D236" s="28" t="s">
        <v>145</v>
      </c>
      <c r="E236" s="25"/>
    </row>
    <row r="237" spans="1:5">
      <c r="A237" s="27" t="s">
        <v>614</v>
      </c>
      <c r="B237" s="28" t="s">
        <v>615</v>
      </c>
      <c r="C237" s="28" t="s">
        <v>145</v>
      </c>
      <c r="D237" s="28" t="s">
        <v>616</v>
      </c>
      <c r="E237" s="25"/>
    </row>
    <row r="238" spans="1:5">
      <c r="A238" s="27" t="s">
        <v>109</v>
      </c>
      <c r="B238" s="28" t="s">
        <v>145</v>
      </c>
      <c r="C238" s="28" t="s">
        <v>145</v>
      </c>
      <c r="D238" s="28" t="s">
        <v>617</v>
      </c>
      <c r="E238" s="25"/>
    </row>
    <row r="239" spans="1:5">
      <c r="A239" s="27" t="s">
        <v>618</v>
      </c>
      <c r="B239" s="28" t="s">
        <v>145</v>
      </c>
      <c r="C239" s="28" t="s">
        <v>145</v>
      </c>
      <c r="D239" s="28" t="s">
        <v>619</v>
      </c>
      <c r="E239" s="25"/>
    </row>
    <row r="240" spans="1:5">
      <c r="A240" s="27" t="s">
        <v>98</v>
      </c>
      <c r="B240" s="28" t="s">
        <v>620</v>
      </c>
      <c r="C240" s="28" t="s">
        <v>145</v>
      </c>
      <c r="D240" s="28" t="s">
        <v>621</v>
      </c>
      <c r="E240" s="25"/>
    </row>
    <row r="241" spans="1:5">
      <c r="A241" s="27" t="s">
        <v>64</v>
      </c>
      <c r="B241" s="28" t="s">
        <v>145</v>
      </c>
      <c r="C241" s="28" t="s">
        <v>145</v>
      </c>
      <c r="D241" s="28" t="s">
        <v>622</v>
      </c>
      <c r="E241" s="25"/>
    </row>
    <row r="242" spans="1:5">
      <c r="A242" s="27" t="s">
        <v>623</v>
      </c>
      <c r="B242" s="28" t="s">
        <v>145</v>
      </c>
      <c r="C242" s="28" t="s">
        <v>145</v>
      </c>
      <c r="D242" s="28" t="s">
        <v>624</v>
      </c>
      <c r="E242" s="25"/>
    </row>
    <row r="243" spans="1:5">
      <c r="A243" s="27" t="s">
        <v>625</v>
      </c>
      <c r="B243" s="28" t="s">
        <v>145</v>
      </c>
      <c r="C243" s="28" t="s">
        <v>145</v>
      </c>
      <c r="D243" s="28" t="s">
        <v>384</v>
      </c>
      <c r="E243" s="25"/>
    </row>
    <row r="244" spans="1:5">
      <c r="A244" s="27" t="s">
        <v>626</v>
      </c>
      <c r="B244" s="28" t="s">
        <v>145</v>
      </c>
      <c r="C244" s="28" t="s">
        <v>145</v>
      </c>
      <c r="D244" s="28" t="s">
        <v>627</v>
      </c>
      <c r="E244" s="25"/>
    </row>
    <row r="245" spans="1:5">
      <c r="A245" s="27" t="s">
        <v>628</v>
      </c>
      <c r="B245" s="28" t="s">
        <v>629</v>
      </c>
      <c r="C245" s="28" t="s">
        <v>630</v>
      </c>
      <c r="D245" s="28" t="s">
        <v>259</v>
      </c>
      <c r="E245" s="25"/>
    </row>
    <row r="246" spans="1:5">
      <c r="A246" s="27" t="s">
        <v>631</v>
      </c>
      <c r="B246" s="28" t="s">
        <v>632</v>
      </c>
      <c r="C246" s="28" t="s">
        <v>145</v>
      </c>
      <c r="D246" s="28" t="s">
        <v>633</v>
      </c>
      <c r="E246" s="25"/>
    </row>
    <row r="247" spans="1:5">
      <c r="A247" s="27" t="s">
        <v>634</v>
      </c>
      <c r="B247" s="28" t="s">
        <v>635</v>
      </c>
      <c r="C247" s="28" t="s">
        <v>145</v>
      </c>
      <c r="D247" s="28" t="s">
        <v>636</v>
      </c>
      <c r="E247" s="25"/>
    </row>
    <row r="248" spans="1:5">
      <c r="A248" s="27" t="s">
        <v>48</v>
      </c>
      <c r="B248" s="28" t="s">
        <v>637</v>
      </c>
      <c r="C248" s="28" t="s">
        <v>639</v>
      </c>
      <c r="D248" s="28" t="s">
        <v>638</v>
      </c>
      <c r="E248" s="25"/>
    </row>
    <row r="249" spans="1:5">
      <c r="A249" s="27" t="s">
        <v>640</v>
      </c>
      <c r="B249" s="28" t="s">
        <v>145</v>
      </c>
      <c r="C249" s="28" t="s">
        <v>145</v>
      </c>
      <c r="D249" s="28" t="s">
        <v>641</v>
      </c>
      <c r="E249" s="25"/>
    </row>
    <row r="250" spans="1:5">
      <c r="A250" s="27" t="s">
        <v>80</v>
      </c>
      <c r="B250" s="28" t="s">
        <v>642</v>
      </c>
      <c r="C250" s="28" t="s">
        <v>145</v>
      </c>
      <c r="D250" s="28" t="s">
        <v>560</v>
      </c>
      <c r="E250" s="25"/>
    </row>
    <row r="251" spans="1:5">
      <c r="A251" s="27" t="s">
        <v>8</v>
      </c>
      <c r="B251" s="28" t="s">
        <v>145</v>
      </c>
      <c r="C251" s="28" t="s">
        <v>145</v>
      </c>
      <c r="D251" s="28" t="s">
        <v>643</v>
      </c>
      <c r="E251" s="25"/>
    </row>
    <row r="252" spans="1:5">
      <c r="A252" s="27" t="s">
        <v>644</v>
      </c>
      <c r="B252" s="28" t="s">
        <v>645</v>
      </c>
      <c r="C252" s="28" t="s">
        <v>145</v>
      </c>
      <c r="D252" s="28" t="s">
        <v>646</v>
      </c>
      <c r="E252" s="30" t="s">
        <v>675</v>
      </c>
    </row>
    <row r="253" spans="1:5">
      <c r="A253" s="27" t="s">
        <v>647</v>
      </c>
      <c r="B253" s="28" t="s">
        <v>145</v>
      </c>
      <c r="C253" s="28" t="s">
        <v>647</v>
      </c>
      <c r="D253" s="28" t="s">
        <v>648</v>
      </c>
      <c r="E253" s="25"/>
    </row>
    <row r="254" spans="1:5">
      <c r="A254" s="27" t="s">
        <v>99</v>
      </c>
      <c r="B254" s="28" t="s">
        <v>145</v>
      </c>
      <c r="C254" s="28" t="s">
        <v>145</v>
      </c>
      <c r="D254" s="28" t="s">
        <v>649</v>
      </c>
      <c r="E254" s="25"/>
    </row>
    <row r="255" spans="1:5">
      <c r="A255" s="27" t="s">
        <v>650</v>
      </c>
      <c r="B255" s="28" t="s">
        <v>651</v>
      </c>
      <c r="C255" s="28" t="s">
        <v>650</v>
      </c>
      <c r="D255" s="28" t="s">
        <v>652</v>
      </c>
      <c r="E255" s="25"/>
    </row>
    <row r="256" spans="1:5">
      <c r="A256" s="27" t="s">
        <v>94</v>
      </c>
      <c r="B256" s="28" t="s">
        <v>145</v>
      </c>
      <c r="C256" s="28" t="s">
        <v>145</v>
      </c>
      <c r="D256" s="28" t="s">
        <v>653</v>
      </c>
      <c r="E256" s="25"/>
    </row>
    <row r="257" spans="1:5">
      <c r="A257" s="27" t="s">
        <v>654</v>
      </c>
      <c r="B257" s="28" t="s">
        <v>145</v>
      </c>
      <c r="C257" s="28" t="s">
        <v>145</v>
      </c>
      <c r="D257" s="28" t="s">
        <v>655</v>
      </c>
      <c r="E257" s="25"/>
    </row>
    <row r="258" spans="1:5">
      <c r="A258" s="27" t="s">
        <v>656</v>
      </c>
      <c r="B258" s="28" t="s">
        <v>145</v>
      </c>
      <c r="C258" s="28" t="s">
        <v>145</v>
      </c>
      <c r="D258" s="28" t="s">
        <v>190</v>
      </c>
      <c r="E258" s="25"/>
    </row>
    <row r="259" spans="1:5">
      <c r="A259" s="27" t="s">
        <v>657</v>
      </c>
      <c r="B259" s="28" t="s">
        <v>145</v>
      </c>
      <c r="C259" s="28" t="s">
        <v>145</v>
      </c>
      <c r="D259" s="28" t="s">
        <v>658</v>
      </c>
      <c r="E259" s="25"/>
    </row>
    <row r="260" spans="1:5">
      <c r="A260" s="27" t="s">
        <v>659</v>
      </c>
      <c r="B260" s="28" t="s">
        <v>145</v>
      </c>
      <c r="C260" s="28" t="s">
        <v>145</v>
      </c>
      <c r="D260" s="28" t="s">
        <v>660</v>
      </c>
      <c r="E260" s="25"/>
    </row>
    <row r="261" spans="1:5">
      <c r="A261" s="27" t="s">
        <v>661</v>
      </c>
      <c r="B261" s="28" t="s">
        <v>662</v>
      </c>
      <c r="C261" s="28" t="s">
        <v>145</v>
      </c>
      <c r="D261" s="28" t="s">
        <v>663</v>
      </c>
      <c r="E261" s="30" t="s">
        <v>676</v>
      </c>
    </row>
    <row r="262" spans="1:5">
      <c r="A262" s="27" t="s">
        <v>664</v>
      </c>
      <c r="B262" s="28" t="s">
        <v>145</v>
      </c>
      <c r="C262" s="28" t="s">
        <v>145</v>
      </c>
      <c r="D262" s="28" t="s">
        <v>665</v>
      </c>
      <c r="E262" s="25"/>
    </row>
    <row r="263" spans="1:5">
      <c r="A263" s="27" t="s">
        <v>666</v>
      </c>
      <c r="B263" s="28" t="s">
        <v>667</v>
      </c>
      <c r="C263" s="28" t="s">
        <v>145</v>
      </c>
      <c r="D263" s="28" t="s">
        <v>668</v>
      </c>
      <c r="E263" s="25"/>
    </row>
    <row r="264" spans="1:5">
      <c r="A264" s="27" t="s">
        <v>669</v>
      </c>
      <c r="B264" s="28" t="s">
        <v>670</v>
      </c>
      <c r="C264" s="28" t="s">
        <v>145</v>
      </c>
      <c r="D264" s="28" t="s">
        <v>671</v>
      </c>
      <c r="E264" s="25"/>
    </row>
    <row r="268" spans="1:5">
      <c r="A268" s="36" t="s">
        <v>672</v>
      </c>
      <c r="B268" s="37"/>
      <c r="C268" s="37"/>
      <c r="D268" s="37"/>
      <c r="E268" s="37"/>
    </row>
  </sheetData>
  <mergeCells count="1">
    <mergeCell ref="A268:E26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 Analysis - 2-21-2025</vt:lpstr>
      <vt:lpstr>Collection Notes</vt:lpstr>
      <vt:lpstr>No Contact Customers</vt:lpstr>
      <vt:lpstr>A R Aging Detail</vt:lpstr>
      <vt:lpstr>Customer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Noman</cp:lastModifiedBy>
  <dcterms:created xsi:type="dcterms:W3CDTF">2024-09-27T11:28:38Z</dcterms:created>
  <dcterms:modified xsi:type="dcterms:W3CDTF">2025-11-05T08:39:54Z</dcterms:modified>
</cp:coreProperties>
</file>